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rofit and Loss" sheetId="1" r:id="rId1"/>
  </sheets>
  <calcPr calcId="162913"/>
</workbook>
</file>

<file path=xl/sharedStrings.xml><?xml version="1.0" encoding="utf-8"?>
<sst xmlns="http://schemas.openxmlformats.org/spreadsheetml/2006/main" count="108" uniqueCount="108">
  <si>
    <t>Profit and Loss</t>
  </si>
  <si>
    <t>Joel Gustafsson Consulting Limited</t>
  </si>
  <si>
    <t>For the month ended 31 July 2026</t>
  </si>
  <si>
    <t>Accrual Basis</t>
  </si>
  <si>
    <t>Account</t>
  </si>
  <si>
    <t>Jul 2026</t>
  </si>
  <si>
    <t>Jun 2026</t>
  </si>
  <si>
    <t>May 2026</t>
  </si>
  <si>
    <t>Apr 2026</t>
  </si>
  <si>
    <t>Mar 2026</t>
  </si>
  <si>
    <t>Feb 2026</t>
  </si>
  <si>
    <t>Jan 2026</t>
  </si>
  <si>
    <t>Dec 2025</t>
  </si>
  <si>
    <t>Nov 2025</t>
  </si>
  <si>
    <t>Oct 2025</t>
  </si>
  <si>
    <t>Sept 2025</t>
  </si>
  <si>
    <t>Aug 2025</t>
  </si>
  <si>
    <t>Jul 2025</t>
  </si>
  <si>
    <t>Jun 2025</t>
  </si>
  <si>
    <t>May 2025</t>
  </si>
  <si>
    <t>Apr 2025</t>
  </si>
  <si>
    <t>Mar 2025</t>
  </si>
  <si>
    <t>Feb 2025</t>
  </si>
  <si>
    <t>Jan 2025</t>
  </si>
  <si>
    <t>Dec 2024</t>
  </si>
  <si>
    <t>Nov 2024</t>
  </si>
  <si>
    <t>Oct 2024</t>
  </si>
  <si>
    <t>Sept 2024</t>
  </si>
  <si>
    <t>Aug 2024</t>
  </si>
  <si>
    <t>Jul 2024</t>
  </si>
  <si>
    <t>Jun 2024</t>
  </si>
  <si>
    <t>May 2024</t>
  </si>
  <si>
    <t>Apr 2024</t>
  </si>
  <si>
    <t>Mar 2024</t>
  </si>
  <si>
    <t>Feb 2024</t>
  </si>
  <si>
    <t>Jan 2024</t>
  </si>
  <si>
    <t>Dec 2023</t>
  </si>
  <si>
    <t>Nov 2023</t>
  </si>
  <si>
    <t>Oct 2023</t>
  </si>
  <si>
    <t>Sept 2023</t>
  </si>
  <si>
    <t>Aug 2023</t>
  </si>
  <si>
    <t>Jul 2023</t>
  </si>
  <si>
    <t>Turnover</t>
  </si>
  <si>
    <t>001 - Sales</t>
  </si>
  <si>
    <t>130 - Interest Income</t>
  </si>
  <si>
    <t>90 - Other Income</t>
  </si>
  <si>
    <t>Total Turnover</t>
  </si>
  <si>
    <t>Cost of Sales</t>
  </si>
  <si>
    <t>017 - Opening WIP</t>
  </si>
  <si>
    <t>018 - Opening Stock</t>
  </si>
  <si>
    <t>027 - Purchases</t>
  </si>
  <si>
    <t>028 - Design Services</t>
  </si>
  <si>
    <t>030 - CHARGEABLE PROJECT EXPENSES</t>
  </si>
  <si>
    <t>031 - NON CHARGEABLE PROJECT EXPENSES</t>
  </si>
  <si>
    <t>044 - Direct Wages (including PAYE NIC student Loan and Pensions)</t>
  </si>
  <si>
    <t>050 - Hire of Plant and Machinery</t>
  </si>
  <si>
    <t>053 - Direct Labour</t>
  </si>
  <si>
    <t>Total Cost of Sales</t>
  </si>
  <si>
    <t>Gross Profit</t>
  </si>
  <si>
    <t>Administrative Costs</t>
  </si>
  <si>
    <t>227 - Rent</t>
  </si>
  <si>
    <t>230 - Water and Rates</t>
  </si>
  <si>
    <t>231 - Use of Home as Office</t>
  </si>
  <si>
    <t>232 - Insurance</t>
  </si>
  <si>
    <t>233 - Light, Power, Heating</t>
  </si>
  <si>
    <t>254/1 - Director Salaries</t>
  </si>
  <si>
    <t>254/7 - Director Pension</t>
  </si>
  <si>
    <t>255 - Indirect Wages</t>
  </si>
  <si>
    <t>256 - Employers NI - not used (See 044 Direct Wages)</t>
  </si>
  <si>
    <t>260 - Operating Lease Payments</t>
  </si>
  <si>
    <t>263 - Telephone &amp; Internet</t>
  </si>
  <si>
    <t>264 - Postage, Printing &amp; Stationery</t>
  </si>
  <si>
    <t>265 - Advertising &amp; Marketing</t>
  </si>
  <si>
    <t>266 - Travel / Accom / Subsistance</t>
  </si>
  <si>
    <t>267 - Motor Vehicle Expenses</t>
  </si>
  <si>
    <t>269 - Website Costs</t>
  </si>
  <si>
    <t>270 - IT Support</t>
  </si>
  <si>
    <t>272 - Repairs &amp; Maintenance</t>
  </si>
  <si>
    <t>280 - Sundry Expenses inc office supplies and consumables</t>
  </si>
  <si>
    <t>281 - Subscriptions - software / prof bodies / ref standards / memberships etc</t>
  </si>
  <si>
    <t>282 - Non Direct Cost Subscription</t>
  </si>
  <si>
    <t>285 - Audit &amp; Accountancy fees</t>
  </si>
  <si>
    <t>286 - Office Operational Overheads</t>
  </si>
  <si>
    <t>287 - Professional Advice &amp; Consultancy</t>
  </si>
  <si>
    <t>290 - Legal Expenses</t>
  </si>
  <si>
    <t>297 - Amortisation of Goodwill</t>
  </si>
  <si>
    <t>298 - Depreciation Expense</t>
  </si>
  <si>
    <t>300 - Profit or Loss on Disposal of Asset</t>
  </si>
  <si>
    <t>321 - Entertainment - 0% (inc wkly team lunches)</t>
  </si>
  <si>
    <t>322 - Bad Debt</t>
  </si>
  <si>
    <t>378 - Bank Fees</t>
  </si>
  <si>
    <t>379 - Credit Card Fees and Charges</t>
  </si>
  <si>
    <t>413 - Interest Paid</t>
  </si>
  <si>
    <t>415 - HMRC Interest</t>
  </si>
  <si>
    <t>426 - Hire Purchase Interest and Charges</t>
  </si>
  <si>
    <t>450 - Deferred Tax Charge</t>
  </si>
  <si>
    <t>497 - Bank Revaluations</t>
  </si>
  <si>
    <t>498 - Unrealised Currency Gains</t>
  </si>
  <si>
    <t>499 - Realised Currency Gains</t>
  </si>
  <si>
    <t>Total Administrative Costs</t>
  </si>
  <si>
    <t>Operating Profit</t>
  </si>
  <si>
    <t>Profit on Ordinary Activities Before Taxation</t>
  </si>
  <si>
    <t>Profit after Taxation</t>
  </si>
  <si>
    <t>1. Outside P+L Tracking</t>
  </si>
  <si>
    <t>735 - VAT</t>
  </si>
  <si>
    <t>442 - Corporation Tax</t>
  </si>
  <si>
    <t>747 - Provision for Corporation Tax</t>
  </si>
  <si>
    <t>471 - Dividends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</si>
</sst>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;(#,##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5" fillId="0" borderId="1" xfId="0" applyFont="true" applyBorder="true" applyAlignment="true">
      <alignment vertical="center"/>
    </xf>
    <xf numFmtId="0" fontId="0" fillId="0" borderId="0" xfId="0" applyFont="true"/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  <xf numFmtId="0" fontId="6" fillId="2" borderId="3" xfId="0" applyFont="true" applyFill="true" applyBorder="true" applyAlignment="true">
      <alignment vertical="center"/>
    </xf>
    <xf numFmtId="164" fontId="6" fillId="2" borderId="3" xfId="0" applyNumberFormat="true" applyFont="true" applyFill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L85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69.16015625" customWidth="1"/>
    <col min="2" max="2" width="10.16015625" customWidth="1"/>
    <col min="3" max="3" width="10.66015625" customWidth="1"/>
    <col min="4" max="4" width="11.5" customWidth="1"/>
    <col min="5" max="5" width="11" customWidth="1"/>
    <col min="6" max="6" width="11.33203125" customWidth="1"/>
    <col min="7" max="9" width="10.66015625" customWidth="1"/>
    <col min="10" max="10" width="11" customWidth="1"/>
    <col min="11" max="11" width="10.66015625" customWidth="1"/>
    <col min="12" max="12" width="11.33203125" customWidth="1"/>
    <col min="13" max="13" width="11.16015625" customWidth="1"/>
    <col min="14" max="14" width="10.16015625" customWidth="1"/>
    <col min="15" max="15" width="10.66015625" customWidth="1"/>
    <col min="16" max="16" width="11.5" customWidth="1"/>
    <col min="17" max="17" width="11" customWidth="1"/>
    <col min="18" max="18" width="11.33203125" customWidth="1"/>
    <col min="19" max="21" width="10.66015625" customWidth="1"/>
    <col min="22" max="22" width="11" customWidth="1"/>
    <col min="23" max="23" width="10.66015625" customWidth="1"/>
    <col min="24" max="24" width="11.33203125" customWidth="1"/>
    <col min="25" max="25" width="11.16015625" customWidth="1"/>
    <col min="26" max="26" width="10.16015625" customWidth="1"/>
    <col min="27" max="27" width="10.66015625" customWidth="1"/>
    <col min="28" max="28" width="11.5" customWidth="1"/>
    <col min="29" max="29" width="11" customWidth="1"/>
    <col min="30" max="30" width="11.33203125" customWidth="1"/>
    <col min="31" max="33" width="10.66015625" customWidth="1"/>
    <col min="34" max="34" width="11" customWidth="1"/>
    <col min="35" max="35" width="10.66015625" customWidth="1"/>
    <col min="36" max="36" width="11.33203125" customWidth="1"/>
    <col min="37" max="37" width="11.16015625" customWidth="1"/>
    <col min="38" max="38" width="10.160156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ht="14.4" customHeight="true" customFormat="true" s="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ht="14.4" customHeight="true" customFormat="true" s="3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ht="14.4" customHeight="true" customFormat="true" s="3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</row>
    <row r="5" ht="13.35" customHeight="true"/>
    <row r="6" ht="12.1" customHeight="true" customFormat="true" s="5">
      <c r="A6" s="6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  <c r="H6" s="7" t="s">
        <v>11</v>
      </c>
      <c r="I6" s="7" t="s">
        <v>12</v>
      </c>
      <c r="J6" s="7" t="s">
        <v>13</v>
      </c>
      <c r="K6" s="7" t="s">
        <v>14</v>
      </c>
      <c r="L6" s="7" t="s">
        <v>15</v>
      </c>
      <c r="M6" s="7" t="s">
        <v>16</v>
      </c>
      <c r="N6" s="7" t="s">
        <v>17</v>
      </c>
      <c r="O6" s="7" t="s">
        <v>18</v>
      </c>
      <c r="P6" s="7" t="s">
        <v>19</v>
      </c>
      <c r="Q6" s="7" t="s">
        <v>20</v>
      </c>
      <c r="R6" s="7" t="s">
        <v>21</v>
      </c>
      <c r="S6" s="7" t="s">
        <v>22</v>
      </c>
      <c r="T6" s="7" t="s">
        <v>23</v>
      </c>
      <c r="U6" s="7" t="s">
        <v>24</v>
      </c>
      <c r="V6" s="7" t="s">
        <v>25</v>
      </c>
      <c r="W6" s="7" t="s">
        <v>26</v>
      </c>
      <c r="X6" s="7" t="s">
        <v>27</v>
      </c>
      <c r="Y6" s="7" t="s">
        <v>28</v>
      </c>
      <c r="Z6" s="7" t="s">
        <v>29</v>
      </c>
      <c r="AA6" s="7" t="s">
        <v>30</v>
      </c>
      <c r="AB6" s="7" t="s">
        <v>31</v>
      </c>
      <c r="AC6" s="7" t="s">
        <v>32</v>
      </c>
      <c r="AD6" s="7" t="s">
        <v>33</v>
      </c>
      <c r="AE6" s="7" t="s">
        <v>34</v>
      </c>
      <c r="AF6" s="7" t="s">
        <v>35</v>
      </c>
      <c r="AG6" s="7" t="s">
        <v>36</v>
      </c>
      <c r="AH6" s="7" t="s">
        <v>37</v>
      </c>
      <c r="AI6" s="7" t="s">
        <v>38</v>
      </c>
      <c r="AJ6" s="7" t="s">
        <v>39</v>
      </c>
      <c r="AK6" s="7" t="s">
        <v>40</v>
      </c>
      <c r="AL6" s="7" t="s">
        <v>41</v>
      </c>
    </row>
    <row r="7" ht="13.35" customHeight="true"/>
    <row r="8" ht="12.1" customHeight="true" customFormat="true" s="5">
      <c r="A8" s="8" t="s">
        <v>42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</row>
    <row r="9" ht="10.95" customHeight="true" customFormat="true" s="9">
      <c r="A9" s="10" t="s">
        <v>43</v>
      </c>
      <c r="B9" s="11">
        <v>14783.7500</v>
      </c>
      <c r="C9" s="11">
        <v>112880.4700</v>
      </c>
      <c r="D9" s="11">
        <v>83531.1400</v>
      </c>
      <c r="E9" s="11">
        <v>134731.8000</v>
      </c>
      <c r="F9" s="11">
        <v>123964.9600</v>
      </c>
      <c r="G9" s="11">
        <v>120701.9300</v>
      </c>
      <c r="H9" s="11">
        <v>118490.0000</v>
      </c>
      <c r="I9" s="11">
        <v>92456.1900</v>
      </c>
      <c r="J9" s="11">
        <v>192592.4900</v>
      </c>
      <c r="K9" s="11">
        <v>114890.6200</v>
      </c>
      <c r="L9" s="11">
        <v>121575.3200</v>
      </c>
      <c r="M9" s="11">
        <v>0</v>
      </c>
      <c r="N9" s="11">
        <v>201246.9900</v>
      </c>
      <c r="O9" s="11">
        <v>48877.5000</v>
      </c>
      <c r="P9" s="11">
        <v>227356.7700</v>
      </c>
      <c r="Q9" s="11">
        <v>113359.1500</v>
      </c>
      <c r="R9" s="11">
        <v>31938.7500</v>
      </c>
      <c r="S9" s="11">
        <v>244417.9200</v>
      </c>
      <c r="T9" s="11">
        <v>0</v>
      </c>
      <c r="U9" s="11">
        <v>88565.6600</v>
      </c>
      <c r="V9" s="11">
        <v>108474.9900</v>
      </c>
      <c r="W9" s="11">
        <v>135643.1700</v>
      </c>
      <c r="X9" s="11">
        <v>139229.9200</v>
      </c>
      <c r="Y9" s="11">
        <v>0</v>
      </c>
      <c r="Z9" s="11">
        <v>131953.5000</v>
      </c>
      <c r="AA9" s="11">
        <v>90274.8000</v>
      </c>
      <c r="AB9" s="11">
        <v>61298.6600</v>
      </c>
      <c r="AC9" s="11">
        <v>43914.8600</v>
      </c>
      <c r="AD9" s="11">
        <v>180872.8600</v>
      </c>
      <c r="AE9" s="11">
        <v>15038.7500</v>
      </c>
      <c r="AF9" s="11">
        <v>103738.3400</v>
      </c>
      <c r="AG9" s="11">
        <v>119737.6800</v>
      </c>
      <c r="AH9" s="11">
        <v>107452.0100</v>
      </c>
      <c r="AI9" s="11">
        <v>5850.0000</v>
      </c>
      <c r="AJ9" s="11">
        <v>169263.6800</v>
      </c>
      <c r="AK9" s="11">
        <v>21502.5000</v>
      </c>
      <c r="AL9" s="11">
        <v>173938.7900</v>
      </c>
    </row>
    <row r="10" ht="10.95" customHeight="true" customFormat="true" s="9">
      <c r="A10" s="12" t="s">
        <v>44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</row>
    <row r="11" ht="10.95" customHeight="true" customFormat="true" s="9">
      <c r="A11" s="12" t="s">
        <v>45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</row>
    <row r="12" ht="10.95" customHeight="true" customFormat="true" s="9">
      <c r="A12" s="14" t="s">
        <v>46</v>
      </c>
      <c r="B12" s="15">
        <f ca="1">SUM(B9:B11)</f>
        <v>0</v>
      </c>
      <c r="C12" s="15">
        <f ca="1">SUM(C9:C11)</f>
        <v>0</v>
      </c>
      <c r="D12" s="15">
        <f ca="1">SUM(D9:D11)</f>
        <v>0</v>
      </c>
      <c r="E12" s="15">
        <f ca="1">SUM(E9:E11)</f>
        <v>0</v>
      </c>
      <c r="F12" s="15">
        <f ca="1">SUM(F9:F11)</f>
        <v>0</v>
      </c>
      <c r="G12" s="15">
        <f ca="1">SUM(G9:G11)</f>
        <v>0</v>
      </c>
      <c r="H12" s="15">
        <f ca="1">SUM(H9:H11)</f>
        <v>0</v>
      </c>
      <c r="I12" s="15">
        <f ca="1">SUM(I9:I11)</f>
        <v>0</v>
      </c>
      <c r="J12" s="15">
        <f ca="1">SUM(J9:J11)</f>
        <v>0</v>
      </c>
      <c r="K12" s="15">
        <f ca="1">SUM(K9:K11)</f>
        <v>0</v>
      </c>
      <c r="L12" s="15">
        <f ca="1">SUM(L9:L11)</f>
        <v>0</v>
      </c>
      <c r="M12" s="15">
        <f ca="1">SUM(M9:M11)</f>
        <v>0</v>
      </c>
      <c r="N12" s="15">
        <f ca="1">SUM(N9:N11)</f>
        <v>0</v>
      </c>
      <c r="O12" s="15">
        <f ca="1">SUM(O9:O11)</f>
        <v>0</v>
      </c>
      <c r="P12" s="15">
        <f ca="1">SUM(P9:P11)</f>
        <v>0</v>
      </c>
      <c r="Q12" s="15">
        <f ca="1">SUM(Q9:Q11)</f>
        <v>0</v>
      </c>
      <c r="R12" s="15">
        <f ca="1">SUM(R9:R11)</f>
        <v>0</v>
      </c>
      <c r="S12" s="15">
        <f ca="1">SUM(S9:S11)</f>
        <v>0</v>
      </c>
      <c r="T12" s="15">
        <f ca="1">SUM(T9:T11)</f>
        <v>0</v>
      </c>
      <c r="U12" s="15">
        <f ca="1">SUM(U9:U11)</f>
        <v>0</v>
      </c>
      <c r="V12" s="15">
        <f ca="1">SUM(V9:V11)</f>
        <v>0</v>
      </c>
      <c r="W12" s="15">
        <f ca="1">SUM(W9:W11)</f>
        <v>0</v>
      </c>
      <c r="X12" s="15">
        <f ca="1">SUM(X9:X11)</f>
        <v>0</v>
      </c>
      <c r="Y12" s="15">
        <f ca="1">SUM(Y9:Y11)</f>
        <v>0</v>
      </c>
      <c r="Z12" s="15">
        <f ca="1">SUM(Z9:Z11)</f>
        <v>0</v>
      </c>
      <c r="AA12" s="15">
        <f ca="1">SUM(AA9:AA11)</f>
        <v>0</v>
      </c>
      <c r="AB12" s="15">
        <f ca="1">SUM(AB9:AB11)</f>
        <v>0</v>
      </c>
      <c r="AC12" s="15">
        <f ca="1">SUM(AC9:AC11)</f>
        <v>0</v>
      </c>
      <c r="AD12" s="15">
        <f ca="1">SUM(AD9:AD11)</f>
        <v>0</v>
      </c>
      <c r="AE12" s="15">
        <f ca="1">SUM(AE9:AE11)</f>
        <v>0</v>
      </c>
      <c r="AF12" s="15">
        <f ca="1">SUM(AF9:AF11)</f>
        <v>0</v>
      </c>
      <c r="AG12" s="15">
        <f ca="1">SUM(AG9:AG11)</f>
        <v>0</v>
      </c>
      <c r="AH12" s="15">
        <f ca="1">SUM(AH9:AH11)</f>
        <v>0</v>
      </c>
      <c r="AI12" s="15">
        <f ca="1">SUM(AI9:AI11)</f>
        <v>0</v>
      </c>
      <c r="AJ12" s="15">
        <f ca="1">SUM(AJ9:AJ11)</f>
        <v>0</v>
      </c>
      <c r="AK12" s="15">
        <f ca="1">SUM(AK9:AK11)</f>
        <v>0</v>
      </c>
      <c r="AL12" s="15">
        <f ca="1">SUM(AL9:AL11)</f>
        <v>0</v>
      </c>
    </row>
    <row r="13" ht="13.35" customHeight="true"/>
    <row r="14" ht="12.1" customHeight="true" customFormat="true" s="5">
      <c r="A14" s="8" t="s">
        <v>47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</row>
    <row r="15" ht="10.95" customHeight="true" customFormat="true" s="9">
      <c r="A15" s="10" t="s">
        <v>48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</row>
    <row r="16" ht="10.95" customHeight="true" customFormat="true" s="9">
      <c r="A16" s="12" t="s">
        <v>49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</row>
    <row r="17" ht="10.95" customHeight="true" customFormat="true" s="9">
      <c r="A17" s="12" t="s">
        <v>50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85.0000</v>
      </c>
      <c r="AJ17" s="13">
        <v>0</v>
      </c>
      <c r="AK17" s="13">
        <v>0</v>
      </c>
      <c r="AL17" s="13">
        <v>-131.0000</v>
      </c>
    </row>
    <row r="18" ht="10.95" customHeight="true" customFormat="true" s="9">
      <c r="A18" s="12" t="s">
        <v>51</v>
      </c>
      <c r="B18" s="13">
        <v>0</v>
      </c>
      <c r="C18" s="13">
        <v>0</v>
      </c>
      <c r="D18" s="13">
        <v>0</v>
      </c>
      <c r="E18" s="13">
        <v>0</v>
      </c>
      <c r="F18" s="13">
        <v>15285.0000</v>
      </c>
      <c r="G18" s="13">
        <v>0</v>
      </c>
      <c r="H18" s="13">
        <v>0</v>
      </c>
      <c r="I18" s="13">
        <v>6600.0000</v>
      </c>
      <c r="J18" s="13">
        <v>0</v>
      </c>
      <c r="K18" s="13">
        <v>0</v>
      </c>
      <c r="L18" s="13">
        <v>580.0000</v>
      </c>
      <c r="M18" s="13">
        <v>0</v>
      </c>
      <c r="N18" s="13">
        <v>1740.0000</v>
      </c>
      <c r="O18" s="13">
        <v>1067.0000</v>
      </c>
      <c r="P18" s="13">
        <v>11675.0000</v>
      </c>
      <c r="Q18" s="13">
        <v>6075.0000</v>
      </c>
      <c r="R18" s="13">
        <v>11572.5000</v>
      </c>
      <c r="S18" s="13">
        <v>11440.0000</v>
      </c>
      <c r="T18" s="13">
        <v>37625.0000</v>
      </c>
      <c r="U18" s="13">
        <v>22195.0000</v>
      </c>
      <c r="V18" s="13">
        <v>27465.5000</v>
      </c>
      <c r="W18" s="13">
        <v>7620.0000</v>
      </c>
      <c r="X18" s="13">
        <v>11135.0000</v>
      </c>
      <c r="Y18" s="13">
        <v>8365.0000</v>
      </c>
      <c r="Z18" s="13">
        <v>1140.0000</v>
      </c>
      <c r="AA18" s="13">
        <v>3180.0000</v>
      </c>
      <c r="AB18" s="13">
        <v>0</v>
      </c>
      <c r="AC18" s="13">
        <v>5600.0000</v>
      </c>
      <c r="AD18" s="13">
        <v>7570.0000</v>
      </c>
      <c r="AE18" s="13">
        <v>13440.0000</v>
      </c>
      <c r="AF18" s="13">
        <v>5600.0000</v>
      </c>
      <c r="AG18" s="13">
        <v>4580.0000</v>
      </c>
      <c r="AH18" s="13">
        <v>5040.0000</v>
      </c>
      <c r="AI18" s="13">
        <v>21925.0000</v>
      </c>
      <c r="AJ18" s="13">
        <v>0</v>
      </c>
      <c r="AK18" s="13">
        <v>10000.0000</v>
      </c>
      <c r="AL18" s="13">
        <v>3392.9700</v>
      </c>
    </row>
    <row r="19" ht="10.95" customHeight="true" customFormat="true" s="9">
      <c r="A19" s="12" t="s">
        <v>52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885.6400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750.0000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-1512.0000</v>
      </c>
      <c r="AI19" s="13">
        <v>1260.0000</v>
      </c>
      <c r="AJ19" s="13">
        <v>50.3800</v>
      </c>
      <c r="AK19" s="13">
        <v>150.0000</v>
      </c>
      <c r="AL19" s="13">
        <v>-1308.8800</v>
      </c>
    </row>
    <row r="20" ht="10.95" customHeight="true" customFormat="true" s="9">
      <c r="A20" s="12" t="s">
        <v>53</v>
      </c>
      <c r="B20" s="13">
        <v>0</v>
      </c>
      <c r="C20" s="13">
        <v>0</v>
      </c>
      <c r="D20" s="13">
        <v>0</v>
      </c>
      <c r="E20" s="13">
        <v>35.6700</v>
      </c>
      <c r="F20" s="13">
        <v>0</v>
      </c>
      <c r="G20" s="13">
        <v>320.0000</v>
      </c>
      <c r="H20" s="13">
        <v>0</v>
      </c>
      <c r="I20" s="13">
        <v>220.3200</v>
      </c>
      <c r="J20" s="13">
        <v>181.6800</v>
      </c>
      <c r="K20" s="13">
        <v>0</v>
      </c>
      <c r="L20" s="13">
        <v>0</v>
      </c>
      <c r="M20" s="13">
        <v>64.5000</v>
      </c>
      <c r="N20" s="13">
        <v>0</v>
      </c>
      <c r="O20" s="13">
        <v>0</v>
      </c>
      <c r="P20" s="13">
        <v>100.6500</v>
      </c>
      <c r="Q20" s="13">
        <v>0</v>
      </c>
      <c r="R20" s="13">
        <v>0</v>
      </c>
      <c r="S20" s="13">
        <v>37.8300</v>
      </c>
      <c r="T20" s="13">
        <v>0</v>
      </c>
      <c r="U20" s="13">
        <v>102.5400</v>
      </c>
      <c r="V20" s="13">
        <v>0</v>
      </c>
      <c r="W20" s="13">
        <v>238.3400</v>
      </c>
      <c r="X20" s="13">
        <v>383.8700</v>
      </c>
      <c r="Y20" s="13">
        <v>0</v>
      </c>
      <c r="Z20" s="13">
        <v>0</v>
      </c>
      <c r="AA20" s="13">
        <v>0</v>
      </c>
      <c r="AB20" s="13">
        <v>332.8400</v>
      </c>
      <c r="AC20" s="13">
        <v>30.9300</v>
      </c>
      <c r="AD20" s="13">
        <v>20.0000</v>
      </c>
      <c r="AE20" s="13">
        <v>0</v>
      </c>
      <c r="AF20" s="13">
        <v>448.8600</v>
      </c>
      <c r="AG20" s="13">
        <v>51.2000</v>
      </c>
      <c r="AH20" s="13">
        <v>72.2100</v>
      </c>
      <c r="AI20" s="13">
        <v>54.6800</v>
      </c>
      <c r="AJ20" s="13">
        <v>103.6700</v>
      </c>
      <c r="AK20" s="13">
        <v>54.7000</v>
      </c>
      <c r="AL20" s="13">
        <v>-711.7900</v>
      </c>
    </row>
    <row r="21" ht="10.95" customHeight="true" customFormat="true" s="9">
      <c r="A21" s="12" t="s">
        <v>54</v>
      </c>
      <c r="B21" s="13">
        <v>0</v>
      </c>
      <c r="C21" s="13">
        <v>133490.7600</v>
      </c>
      <c r="D21" s="13">
        <v>66798.3400</v>
      </c>
      <c r="E21" s="13">
        <v>55510.5000</v>
      </c>
      <c r="F21" s="13">
        <v>57472.6800</v>
      </c>
      <c r="G21" s="13">
        <v>55483.7500</v>
      </c>
      <c r="H21" s="13">
        <v>104925.6500</v>
      </c>
      <c r="I21" s="13">
        <v>81465.8700</v>
      </c>
      <c r="J21" s="13">
        <v>58664.9400</v>
      </c>
      <c r="K21" s="13">
        <v>63538.8300</v>
      </c>
      <c r="L21" s="13">
        <v>58292.6300</v>
      </c>
      <c r="M21" s="13">
        <v>59792.9900</v>
      </c>
      <c r="N21" s="13">
        <v>123429.3900</v>
      </c>
      <c r="O21" s="13">
        <v>54715.0000</v>
      </c>
      <c r="P21" s="13">
        <v>57340.1600</v>
      </c>
      <c r="Q21" s="13">
        <v>49449.9500</v>
      </c>
      <c r="R21" s="13">
        <v>55229.8100</v>
      </c>
      <c r="S21" s="13">
        <v>49158.3600</v>
      </c>
      <c r="T21" s="13">
        <v>45909.9700</v>
      </c>
      <c r="U21" s="13">
        <v>123468.4500</v>
      </c>
      <c r="V21" s="13">
        <v>44408.0100</v>
      </c>
      <c r="W21" s="13">
        <v>44017.2600</v>
      </c>
      <c r="X21" s="13">
        <v>44776.0700</v>
      </c>
      <c r="Y21" s="13">
        <v>42794.7100</v>
      </c>
      <c r="Z21" s="13">
        <v>76259.6600</v>
      </c>
      <c r="AA21" s="13">
        <v>40200.4700</v>
      </c>
      <c r="AB21" s="13">
        <v>40047.1700</v>
      </c>
      <c r="AC21" s="13">
        <v>33181.9500</v>
      </c>
      <c r="AD21" s="13">
        <v>41421.2500</v>
      </c>
      <c r="AE21" s="13">
        <v>36183.7900</v>
      </c>
      <c r="AF21" s="13">
        <v>37187.5100</v>
      </c>
      <c r="AG21" s="13">
        <v>86025.7800</v>
      </c>
      <c r="AH21" s="13">
        <v>33121.7700</v>
      </c>
      <c r="AI21" s="13">
        <v>28955.8800</v>
      </c>
      <c r="AJ21" s="13">
        <v>28321.3900</v>
      </c>
      <c r="AK21" s="13">
        <v>26245.1000</v>
      </c>
      <c r="AL21" s="13">
        <v>54565.8000</v>
      </c>
    </row>
    <row r="22" ht="10.95" customHeight="true" customFormat="true" s="9">
      <c r="A22" s="12" t="s">
        <v>55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</row>
    <row r="23" ht="10.95" customHeight="true" customFormat="true" s="9">
      <c r="A23" s="12" t="s">
        <v>56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</row>
    <row r="24" ht="10.95" customHeight="true" customFormat="true" s="9">
      <c r="A24" s="14" t="s">
        <v>57</v>
      </c>
      <c r="B24" s="15">
        <f ca="1">SUM(B15:B23)</f>
        <v>0</v>
      </c>
      <c r="C24" s="15">
        <f ca="1">SUM(C15:C23)</f>
        <v>0</v>
      </c>
      <c r="D24" s="15">
        <f ca="1">SUM(D15:D23)</f>
        <v>0</v>
      </c>
      <c r="E24" s="15">
        <f ca="1">SUM(E15:E23)</f>
        <v>0</v>
      </c>
      <c r="F24" s="15">
        <f ca="1">SUM(F15:F23)</f>
        <v>0</v>
      </c>
      <c r="G24" s="15">
        <f ca="1">SUM(G15:G23)</f>
        <v>0</v>
      </c>
      <c r="H24" s="15">
        <f ca="1">SUM(H15:H23)</f>
        <v>0</v>
      </c>
      <c r="I24" s="15">
        <f ca="1">SUM(I15:I23)</f>
        <v>0</v>
      </c>
      <c r="J24" s="15">
        <f ca="1">SUM(J15:J23)</f>
        <v>0</v>
      </c>
      <c r="K24" s="15">
        <f ca="1">SUM(K15:K23)</f>
        <v>0</v>
      </c>
      <c r="L24" s="15">
        <f ca="1">SUM(L15:L23)</f>
        <v>0</v>
      </c>
      <c r="M24" s="15">
        <f ca="1">SUM(M15:M23)</f>
        <v>0</v>
      </c>
      <c r="N24" s="15">
        <f ca="1">SUM(N15:N23)</f>
        <v>0</v>
      </c>
      <c r="O24" s="15">
        <f ca="1">SUM(O15:O23)</f>
        <v>0</v>
      </c>
      <c r="P24" s="15">
        <f ca="1">SUM(P15:P23)</f>
        <v>0</v>
      </c>
      <c r="Q24" s="15">
        <f ca="1">SUM(Q15:Q23)</f>
        <v>0</v>
      </c>
      <c r="R24" s="15">
        <f ca="1">SUM(R15:R23)</f>
        <v>0</v>
      </c>
      <c r="S24" s="15">
        <f ca="1">SUM(S15:S23)</f>
        <v>0</v>
      </c>
      <c r="T24" s="15">
        <f ca="1">SUM(T15:T23)</f>
        <v>0</v>
      </c>
      <c r="U24" s="15">
        <f ca="1">SUM(U15:U23)</f>
        <v>0</v>
      </c>
      <c r="V24" s="15">
        <f ca="1">SUM(V15:V23)</f>
        <v>0</v>
      </c>
      <c r="W24" s="15">
        <f ca="1">SUM(W15:W23)</f>
        <v>0</v>
      </c>
      <c r="X24" s="15">
        <f ca="1">SUM(X15:X23)</f>
        <v>0</v>
      </c>
      <c r="Y24" s="15">
        <f ca="1">SUM(Y15:Y23)</f>
        <v>0</v>
      </c>
      <c r="Z24" s="15">
        <f ca="1">SUM(Z15:Z23)</f>
        <v>0</v>
      </c>
      <c r="AA24" s="15">
        <f ca="1">SUM(AA15:AA23)</f>
        <v>0</v>
      </c>
      <c r="AB24" s="15">
        <f ca="1">SUM(AB15:AB23)</f>
        <v>0</v>
      </c>
      <c r="AC24" s="15">
        <f ca="1">SUM(AC15:AC23)</f>
        <v>0</v>
      </c>
      <c r="AD24" s="15">
        <f ca="1">SUM(AD15:AD23)</f>
        <v>0</v>
      </c>
      <c r="AE24" s="15">
        <f ca="1">SUM(AE15:AE23)</f>
        <v>0</v>
      </c>
      <c r="AF24" s="15">
        <f ca="1">SUM(AF15:AF23)</f>
        <v>0</v>
      </c>
      <c r="AG24" s="15">
        <f ca="1">SUM(AG15:AG23)</f>
        <v>0</v>
      </c>
      <c r="AH24" s="15">
        <f ca="1">SUM(AH15:AH23)</f>
        <v>0</v>
      </c>
      <c r="AI24" s="15">
        <f ca="1">SUM(AI15:AI23)</f>
        <v>0</v>
      </c>
      <c r="AJ24" s="15">
        <f ca="1">SUM(AJ15:AJ23)</f>
        <v>0</v>
      </c>
      <c r="AK24" s="15">
        <f ca="1">SUM(AK15:AK23)</f>
        <v>0</v>
      </c>
      <c r="AL24" s="15">
        <f ca="1">SUM(AL15:AL23)</f>
        <v>0</v>
      </c>
    </row>
    <row r="25" ht="13.35" customHeight="true"/>
    <row r="26" ht="10.95" customHeight="true" customFormat="true" s="9">
      <c r="A26" s="16" t="s">
        <v>58</v>
      </c>
      <c r="B26" s="17">
        <f ca="1">(B12 - B24)</f>
        <v>0</v>
      </c>
      <c r="C26" s="17">
        <f ca="1">(C12 - C24)</f>
        <v>0</v>
      </c>
      <c r="D26" s="17">
        <f ca="1">(D12 - D24)</f>
        <v>0</v>
      </c>
      <c r="E26" s="17">
        <f ca="1">(E12 - E24)</f>
        <v>0</v>
      </c>
      <c r="F26" s="17">
        <f ca="1">(F12 - F24)</f>
        <v>0</v>
      </c>
      <c r="G26" s="17">
        <f ca="1">(G12 - G24)</f>
        <v>0</v>
      </c>
      <c r="H26" s="17">
        <f ca="1">(H12 - H24)</f>
        <v>0</v>
      </c>
      <c r="I26" s="17">
        <f ca="1">(I12 - I24)</f>
        <v>0</v>
      </c>
      <c r="J26" s="17">
        <f ca="1">(J12 - J24)</f>
        <v>0</v>
      </c>
      <c r="K26" s="17">
        <f ca="1">(K12 - K24)</f>
        <v>0</v>
      </c>
      <c r="L26" s="17">
        <f ca="1">(L12 - L24)</f>
        <v>0</v>
      </c>
      <c r="M26" s="17">
        <f ca="1">(M12 - M24)</f>
        <v>0</v>
      </c>
      <c r="N26" s="17">
        <f ca="1">(N12 - N24)</f>
        <v>0</v>
      </c>
      <c r="O26" s="17">
        <f ca="1">(O12 - O24)</f>
        <v>0</v>
      </c>
      <c r="P26" s="17">
        <f ca="1">(P12 - P24)</f>
        <v>0</v>
      </c>
      <c r="Q26" s="17">
        <f ca="1">(Q12 - Q24)</f>
        <v>0</v>
      </c>
      <c r="R26" s="17">
        <f ca="1">(R12 - R24)</f>
        <v>0</v>
      </c>
      <c r="S26" s="17">
        <f ca="1">(S12 - S24)</f>
        <v>0</v>
      </c>
      <c r="T26" s="17">
        <f ca="1">(T12 - T24)</f>
        <v>0</v>
      </c>
      <c r="U26" s="17">
        <f ca="1">(U12 - U24)</f>
        <v>0</v>
      </c>
      <c r="V26" s="17">
        <f ca="1">(V12 - V24)</f>
        <v>0</v>
      </c>
      <c r="W26" s="17">
        <f ca="1">(W12 - W24)</f>
        <v>0</v>
      </c>
      <c r="X26" s="17">
        <f ca="1">(X12 - X24)</f>
        <v>0</v>
      </c>
      <c r="Y26" s="17">
        <f ca="1">(Y12 - Y24)</f>
        <v>0</v>
      </c>
      <c r="Z26" s="17">
        <f ca="1">(Z12 - Z24)</f>
        <v>0</v>
      </c>
      <c r="AA26" s="17">
        <f ca="1">(AA12 - AA24)</f>
        <v>0</v>
      </c>
      <c r="AB26" s="17">
        <f ca="1">(AB12 - AB24)</f>
        <v>0</v>
      </c>
      <c r="AC26" s="17">
        <f ca="1">(AC12 - AC24)</f>
        <v>0</v>
      </c>
      <c r="AD26" s="17">
        <f ca="1">(AD12 - AD24)</f>
        <v>0</v>
      </c>
      <c r="AE26" s="17">
        <f ca="1">(AE12 - AE24)</f>
        <v>0</v>
      </c>
      <c r="AF26" s="17">
        <f ca="1">(AF12 - AF24)</f>
        <v>0</v>
      </c>
      <c r="AG26" s="17">
        <f ca="1">(AG12 - AG24)</f>
        <v>0</v>
      </c>
      <c r="AH26" s="17">
        <f ca="1">(AH12 - AH24)</f>
        <v>0</v>
      </c>
      <c r="AI26" s="17">
        <f ca="1">(AI12 - AI24)</f>
        <v>0</v>
      </c>
      <c r="AJ26" s="17">
        <f ca="1">(AJ12 - AJ24)</f>
        <v>0</v>
      </c>
      <c r="AK26" s="17">
        <f ca="1">(AK12 - AK24)</f>
        <v>0</v>
      </c>
      <c r="AL26" s="17">
        <f ca="1">(AL12 - AL24)</f>
        <v>0</v>
      </c>
    </row>
    <row r="27" ht="13.35" customHeight="true"/>
    <row r="28" ht="12.1" customHeight="true" customFormat="true" s="5">
      <c r="A28" s="8" t="s">
        <v>59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</row>
    <row r="29" ht="10.95" customHeight="true" customFormat="true" s="9">
      <c r="A29" s="10" t="s">
        <v>60</v>
      </c>
      <c r="B29" s="11">
        <v>0</v>
      </c>
      <c r="C29" s="11">
        <v>11960.2500</v>
      </c>
      <c r="D29" s="11">
        <v>0</v>
      </c>
      <c r="E29" s="11">
        <v>0</v>
      </c>
      <c r="F29" s="11">
        <v>11960.2500</v>
      </c>
      <c r="G29" s="11">
        <v>-662.5400</v>
      </c>
      <c r="H29" s="11">
        <v>0</v>
      </c>
      <c r="I29" s="11">
        <v>11960.2500</v>
      </c>
      <c r="J29" s="11">
        <v>0</v>
      </c>
      <c r="K29" s="11">
        <v>0</v>
      </c>
      <c r="L29" s="11">
        <v>11960.2500</v>
      </c>
      <c r="M29" s="11">
        <v>0</v>
      </c>
      <c r="N29" s="11">
        <v>3684.9700</v>
      </c>
      <c r="O29" s="11">
        <v>5152.5000</v>
      </c>
      <c r="P29" s="11">
        <v>0</v>
      </c>
      <c r="Q29" s="11">
        <v>-652.0800</v>
      </c>
      <c r="R29" s="11">
        <v>5152.5000</v>
      </c>
      <c r="S29" s="11">
        <v>0</v>
      </c>
      <c r="T29" s="11">
        <v>0</v>
      </c>
      <c r="U29" s="11">
        <v>0</v>
      </c>
      <c r="V29" s="11">
        <v>5152.5000</v>
      </c>
      <c r="W29" s="11">
        <v>0</v>
      </c>
      <c r="X29" s="11">
        <v>5152.5000</v>
      </c>
      <c r="Y29" s="11">
        <v>303.0000</v>
      </c>
      <c r="Z29" s="11">
        <v>0</v>
      </c>
      <c r="AA29" s="11">
        <v>0</v>
      </c>
      <c r="AB29" s="11">
        <v>5141.5000</v>
      </c>
      <c r="AC29" s="11">
        <v>0</v>
      </c>
      <c r="AD29" s="11">
        <v>-111.4800</v>
      </c>
      <c r="AE29" s="11">
        <v>5141.5000</v>
      </c>
      <c r="AF29" s="11">
        <v>0</v>
      </c>
      <c r="AG29" s="11">
        <v>0</v>
      </c>
      <c r="AH29" s="11">
        <v>5141.5000</v>
      </c>
      <c r="AI29" s="11">
        <v>0</v>
      </c>
      <c r="AJ29" s="11">
        <v>5141.5000</v>
      </c>
      <c r="AK29" s="11">
        <v>0</v>
      </c>
      <c r="AL29" s="11">
        <v>-307.8400</v>
      </c>
    </row>
    <row r="30" ht="10.95" customHeight="true" customFormat="true" s="9">
      <c r="A30" s="12" t="s">
        <v>61</v>
      </c>
      <c r="B30" s="13">
        <v>1427.1400</v>
      </c>
      <c r="C30" s="13">
        <v>1450.5400</v>
      </c>
      <c r="D30" s="13">
        <v>1363.0000</v>
      </c>
      <c r="E30" s="13">
        <v>1361.0000</v>
      </c>
      <c r="F30" s="13">
        <v>5152.0500</v>
      </c>
      <c r="G30" s="13">
        <v>5064.0000</v>
      </c>
      <c r="H30" s="13">
        <v>5490.5500</v>
      </c>
      <c r="I30" s="13">
        <v>5223.6500</v>
      </c>
      <c r="J30" s="13">
        <v>5144.0000</v>
      </c>
      <c r="K30" s="13">
        <v>5144.0000</v>
      </c>
      <c r="L30" s="13">
        <v>5253.4900</v>
      </c>
      <c r="M30" s="13">
        <v>0</v>
      </c>
      <c r="N30" s="13">
        <v>94.1000</v>
      </c>
      <c r="O30" s="13">
        <v>0</v>
      </c>
      <c r="P30" s="13">
        <v>0</v>
      </c>
      <c r="Q30" s="13">
        <v>54.3900</v>
      </c>
      <c r="R30" s="13">
        <v>0</v>
      </c>
      <c r="S30" s="13">
        <v>0</v>
      </c>
      <c r="T30" s="13">
        <v>0</v>
      </c>
      <c r="U30" s="13">
        <v>86.8700</v>
      </c>
      <c r="V30" s="13">
        <v>0</v>
      </c>
      <c r="W30" s="13">
        <v>53.0900</v>
      </c>
      <c r="X30" s="13">
        <v>0</v>
      </c>
      <c r="Y30" s="13">
        <v>0</v>
      </c>
      <c r="Z30" s="13">
        <v>0</v>
      </c>
      <c r="AA30" s="13">
        <v>76.1600</v>
      </c>
      <c r="AB30" s="13">
        <v>497.9400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</row>
    <row r="31" ht="10.95" customHeight="true" customFormat="true" s="9">
      <c r="A31" s="12" t="s">
        <v>62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312.0000</v>
      </c>
    </row>
    <row r="32" ht="10.95" customHeight="true" customFormat="true" s="9">
      <c r="A32" s="12" t="s">
        <v>63</v>
      </c>
      <c r="B32" s="13">
        <v>0</v>
      </c>
      <c r="C32" s="13">
        <v>0</v>
      </c>
      <c r="D32" s="13">
        <v>0</v>
      </c>
      <c r="E32" s="13">
        <v>3750.0000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139.5900</v>
      </c>
      <c r="L32" s="13">
        <v>24881.8400</v>
      </c>
      <c r="M32" s="13">
        <v>0</v>
      </c>
      <c r="N32" s="13">
        <v>323.6500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755.8000</v>
      </c>
      <c r="V32" s="13">
        <v>0</v>
      </c>
      <c r="W32" s="13">
        <v>0</v>
      </c>
      <c r="X32" s="13">
        <v>19516.7700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784.1300</v>
      </c>
      <c r="AH32" s="13">
        <v>416.5100</v>
      </c>
      <c r="AI32" s="13">
        <v>0</v>
      </c>
      <c r="AJ32" s="13">
        <v>14360.0000</v>
      </c>
      <c r="AK32" s="13">
        <v>0</v>
      </c>
      <c r="AL32" s="13">
        <v>-137.7900</v>
      </c>
    </row>
    <row r="33" ht="10.95" customHeight="true" customFormat="true" s="9">
      <c r="A33" s="12" t="s">
        <v>64</v>
      </c>
      <c r="B33" s="13">
        <v>0</v>
      </c>
      <c r="C33" s="13">
        <v>42.4600</v>
      </c>
      <c r="D33" s="13">
        <v>585.3100</v>
      </c>
      <c r="E33" s="13">
        <v>874.4600</v>
      </c>
      <c r="F33" s="13">
        <v>981.3300</v>
      </c>
      <c r="G33" s="13">
        <v>1198.2900</v>
      </c>
      <c r="H33" s="13">
        <v>936.5000</v>
      </c>
      <c r="I33" s="13">
        <v>790.3500</v>
      </c>
      <c r="J33" s="13">
        <v>1512.7200</v>
      </c>
      <c r="K33" s="13">
        <v>349.5500</v>
      </c>
      <c r="L33" s="13">
        <v>279.4500</v>
      </c>
      <c r="M33" s="13">
        <v>292.4100</v>
      </c>
      <c r="N33" s="13">
        <v>10.0700</v>
      </c>
      <c r="O33" s="13">
        <v>312.1400</v>
      </c>
      <c r="P33" s="13">
        <v>349.6000</v>
      </c>
      <c r="Q33" s="13">
        <v>416.3600</v>
      </c>
      <c r="R33" s="13">
        <v>438.8400</v>
      </c>
      <c r="S33" s="13">
        <v>1429.4600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214.8600</v>
      </c>
      <c r="Z33" s="13">
        <v>0</v>
      </c>
      <c r="AA33" s="13">
        <v>525.4100</v>
      </c>
      <c r="AB33" s="13">
        <v>5313.9900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</row>
    <row r="34" ht="10.95" customHeight="true" customFormat="true" s="9">
      <c r="A34" s="12" t="s">
        <v>65</v>
      </c>
      <c r="B34" s="13">
        <v>0</v>
      </c>
      <c r="C34" s="13">
        <v>918.6000</v>
      </c>
      <c r="D34" s="13">
        <v>918.6000</v>
      </c>
      <c r="E34" s="13">
        <v>918.8000</v>
      </c>
      <c r="F34" s="13">
        <v>929.4000</v>
      </c>
      <c r="G34" s="13">
        <v>929.4000</v>
      </c>
      <c r="H34" s="13">
        <v>8179.2000</v>
      </c>
      <c r="I34" s="13">
        <v>929.4000</v>
      </c>
      <c r="J34" s="13">
        <v>929.2000</v>
      </c>
      <c r="K34" s="13">
        <v>929.4000</v>
      </c>
      <c r="L34" s="13">
        <v>929.4000</v>
      </c>
      <c r="M34" s="13">
        <v>929.2000</v>
      </c>
      <c r="N34" s="13">
        <v>929.4000</v>
      </c>
      <c r="O34" s="13">
        <v>929.2000</v>
      </c>
      <c r="P34" s="13">
        <v>929.4000</v>
      </c>
      <c r="Q34" s="13">
        <v>929.4000</v>
      </c>
      <c r="R34" s="13">
        <v>940.0000</v>
      </c>
      <c r="S34" s="13">
        <v>940.0000</v>
      </c>
      <c r="T34" s="13">
        <v>940.0000</v>
      </c>
      <c r="U34" s="13">
        <v>940.0000</v>
      </c>
      <c r="V34" s="13">
        <v>940.0000</v>
      </c>
      <c r="W34" s="13">
        <v>940.0000</v>
      </c>
      <c r="X34" s="13">
        <v>940.0000</v>
      </c>
      <c r="Y34" s="13">
        <v>940.0000</v>
      </c>
      <c r="Z34" s="13">
        <v>940.0000</v>
      </c>
      <c r="AA34" s="13">
        <v>940.0000</v>
      </c>
      <c r="AB34" s="13">
        <v>940.0000</v>
      </c>
      <c r="AC34" s="13">
        <v>940.0000</v>
      </c>
      <c r="AD34" s="13">
        <v>758.0000</v>
      </c>
      <c r="AE34" s="13">
        <v>758.0000</v>
      </c>
      <c r="AF34" s="13">
        <v>758.0000</v>
      </c>
      <c r="AG34" s="13">
        <v>758.0000</v>
      </c>
      <c r="AH34" s="13">
        <v>758.0000</v>
      </c>
      <c r="AI34" s="13">
        <v>758.0000</v>
      </c>
      <c r="AJ34" s="13">
        <v>0</v>
      </c>
      <c r="AK34" s="13">
        <v>758.0000</v>
      </c>
      <c r="AL34" s="13">
        <v>2274.0000</v>
      </c>
    </row>
    <row r="35" ht="10.95" customHeight="true" customFormat="true" s="9">
      <c r="A35" s="12" t="s">
        <v>66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</row>
    <row r="36" ht="10.95" customHeight="true" customFormat="true" s="9">
      <c r="A36" s="12" t="s">
        <v>67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</row>
    <row r="37" ht="10.95" customHeight="true" customFormat="true" s="9">
      <c r="A37" s="12" t="s">
        <v>68</v>
      </c>
      <c r="B37" s="13">
        <v>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</row>
    <row r="38" ht="10.95" customHeight="true" customFormat="true" s="9">
      <c r="A38" s="12" t="s">
        <v>69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</row>
    <row r="39" ht="10.95" customHeight="true" customFormat="true" s="9">
      <c r="A39" s="12" t="s">
        <v>70</v>
      </c>
      <c r="B39" s="13">
        <v>236.6000</v>
      </c>
      <c r="C39" s="13">
        <v>308.4300</v>
      </c>
      <c r="D39" s="13">
        <v>279.6200</v>
      </c>
      <c r="E39" s="13">
        <v>263.6800</v>
      </c>
      <c r="F39" s="13">
        <v>255.8000</v>
      </c>
      <c r="G39" s="13">
        <v>255.8000</v>
      </c>
      <c r="H39" s="13">
        <v>665.3100</v>
      </c>
      <c r="I39" s="13">
        <v>282.3400</v>
      </c>
      <c r="J39" s="13">
        <v>304.1300</v>
      </c>
      <c r="K39" s="13">
        <v>301.5300</v>
      </c>
      <c r="L39" s="13">
        <v>351.3300</v>
      </c>
      <c r="M39" s="13">
        <v>300.8800</v>
      </c>
      <c r="N39" s="13">
        <v>285.6800</v>
      </c>
      <c r="O39" s="13">
        <v>285.6800</v>
      </c>
      <c r="P39" s="13">
        <v>312.2300</v>
      </c>
      <c r="Q39" s="13">
        <v>280.2900</v>
      </c>
      <c r="R39" s="13">
        <v>264.2400</v>
      </c>
      <c r="S39" s="13">
        <v>278.2300</v>
      </c>
      <c r="T39" s="13">
        <v>264.1100</v>
      </c>
      <c r="U39" s="13">
        <v>278.5900</v>
      </c>
      <c r="V39" s="13">
        <v>260.2100</v>
      </c>
      <c r="W39" s="13">
        <v>247.7100</v>
      </c>
      <c r="X39" s="13">
        <v>245.6900</v>
      </c>
      <c r="Y39" s="13">
        <v>259.8600</v>
      </c>
      <c r="Z39" s="13">
        <v>231.5300</v>
      </c>
      <c r="AA39" s="13">
        <v>244.1400</v>
      </c>
      <c r="AB39" s="13">
        <v>239.8900</v>
      </c>
      <c r="AC39" s="13">
        <v>218.4600</v>
      </c>
      <c r="AD39" s="13">
        <v>218.9800</v>
      </c>
      <c r="AE39" s="13">
        <v>230.8000</v>
      </c>
      <c r="AF39" s="13">
        <v>200.9100</v>
      </c>
      <c r="AG39" s="13">
        <v>207.6600</v>
      </c>
      <c r="AH39" s="13">
        <v>189.7900</v>
      </c>
      <c r="AI39" s="13">
        <v>199.1300</v>
      </c>
      <c r="AJ39" s="13">
        <v>156.3700</v>
      </c>
      <c r="AK39" s="13">
        <v>157.8900</v>
      </c>
      <c r="AL39" s="13">
        <v>124.8900</v>
      </c>
    </row>
    <row r="40" ht="10.95" customHeight="true" customFormat="true" s="9">
      <c r="A40" s="12" t="s">
        <v>71</v>
      </c>
      <c r="B40" s="13">
        <v>0</v>
      </c>
      <c r="C40" s="13">
        <v>0</v>
      </c>
      <c r="D40" s="13">
        <v>0</v>
      </c>
      <c r="E40" s="13">
        <v>0</v>
      </c>
      <c r="F40" s="13">
        <v>0</v>
      </c>
      <c r="G40" s="13">
        <v>52.6200</v>
      </c>
      <c r="H40" s="13">
        <v>44.4000</v>
      </c>
      <c r="I40" s="13">
        <v>47.8500</v>
      </c>
      <c r="J40" s="13">
        <v>51.6600</v>
      </c>
      <c r="K40" s="13">
        <v>85.2700</v>
      </c>
      <c r="L40" s="13">
        <v>213.2600</v>
      </c>
      <c r="M40" s="13">
        <v>60.7900</v>
      </c>
      <c r="N40" s="13">
        <v>157.7300</v>
      </c>
      <c r="O40" s="13">
        <v>33.7300</v>
      </c>
      <c r="P40" s="13">
        <v>98.6600</v>
      </c>
      <c r="Q40" s="13">
        <v>30.5600</v>
      </c>
      <c r="R40" s="13">
        <v>19.3100</v>
      </c>
      <c r="S40" s="13">
        <v>127.4800</v>
      </c>
      <c r="T40" s="13">
        <v>6.7500</v>
      </c>
      <c r="U40" s="13">
        <v>0</v>
      </c>
      <c r="V40" s="13">
        <v>0</v>
      </c>
      <c r="W40" s="13">
        <v>8.8900</v>
      </c>
      <c r="X40" s="13">
        <v>25.1200</v>
      </c>
      <c r="Y40" s="13">
        <v>7.0000</v>
      </c>
      <c r="Z40" s="13">
        <v>0</v>
      </c>
      <c r="AA40" s="13">
        <v>2.7500</v>
      </c>
      <c r="AB40" s="13">
        <v>0</v>
      </c>
      <c r="AC40" s="13">
        <v>0</v>
      </c>
      <c r="AD40" s="13">
        <v>36.2000</v>
      </c>
      <c r="AE40" s="13">
        <v>0</v>
      </c>
      <c r="AF40" s="13">
        <v>41.0100</v>
      </c>
      <c r="AG40" s="13">
        <v>0</v>
      </c>
      <c r="AH40" s="13">
        <v>14.3800</v>
      </c>
      <c r="AI40" s="13">
        <v>9.1600</v>
      </c>
      <c r="AJ40" s="13">
        <v>9.9500</v>
      </c>
      <c r="AK40" s="13">
        <v>52.8600</v>
      </c>
      <c r="AL40" s="13">
        <v>706.9900</v>
      </c>
    </row>
    <row r="41" ht="10.95" customHeight="true" customFormat="true" s="9">
      <c r="A41" s="12" t="s">
        <v>72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400.0000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60.0000</v>
      </c>
      <c r="AF41" s="13">
        <v>973.0000</v>
      </c>
      <c r="AG41" s="13">
        <v>0</v>
      </c>
      <c r="AH41" s="13">
        <v>500.0000</v>
      </c>
      <c r="AI41" s="13">
        <v>0</v>
      </c>
      <c r="AJ41" s="13">
        <v>0</v>
      </c>
      <c r="AK41" s="13">
        <v>0</v>
      </c>
      <c r="AL41" s="13">
        <v>0</v>
      </c>
    </row>
    <row r="42" ht="10.95" customHeight="true" customFormat="true" s="9">
      <c r="A42" s="12" t="s">
        <v>73</v>
      </c>
      <c r="B42" s="13">
        <v>0</v>
      </c>
      <c r="C42" s="13">
        <v>0</v>
      </c>
      <c r="D42" s="13">
        <v>0</v>
      </c>
      <c r="E42" s="13">
        <v>377.9800</v>
      </c>
      <c r="F42" s="13">
        <v>155.0000</v>
      </c>
      <c r="G42" s="13">
        <v>288.7600</v>
      </c>
      <c r="H42" s="13">
        <v>486.4300</v>
      </c>
      <c r="I42" s="13">
        <v>111.6000</v>
      </c>
      <c r="J42" s="13">
        <v>811.9300</v>
      </c>
      <c r="K42" s="13">
        <v>928.6700</v>
      </c>
      <c r="L42" s="13">
        <v>666.5800</v>
      </c>
      <c r="M42" s="13">
        <v>554.2300</v>
      </c>
      <c r="N42" s="13">
        <v>1444.2300</v>
      </c>
      <c r="O42" s="13">
        <v>352.2300</v>
      </c>
      <c r="P42" s="13">
        <v>813.6000</v>
      </c>
      <c r="Q42" s="13">
        <v>2565.8300</v>
      </c>
      <c r="R42" s="13">
        <v>565.4600</v>
      </c>
      <c r="S42" s="13">
        <v>1291.5200</v>
      </c>
      <c r="T42" s="13">
        <v>490.5500</v>
      </c>
      <c r="U42" s="13">
        <v>588.0600</v>
      </c>
      <c r="V42" s="13">
        <v>243.1000</v>
      </c>
      <c r="W42" s="13">
        <v>647.4600</v>
      </c>
      <c r="X42" s="13">
        <v>709.5900</v>
      </c>
      <c r="Y42" s="13">
        <v>257.2500</v>
      </c>
      <c r="Z42" s="13">
        <v>578.0700</v>
      </c>
      <c r="AA42" s="13">
        <v>522.2000</v>
      </c>
      <c r="AB42" s="13">
        <v>1137.0000</v>
      </c>
      <c r="AC42" s="13">
        <v>478.9500</v>
      </c>
      <c r="AD42" s="13">
        <v>829.1900</v>
      </c>
      <c r="AE42" s="13">
        <v>377.8700</v>
      </c>
      <c r="AF42" s="13">
        <v>343.7100</v>
      </c>
      <c r="AG42" s="13">
        <v>234.0600</v>
      </c>
      <c r="AH42" s="13">
        <v>473.3400</v>
      </c>
      <c r="AI42" s="13">
        <v>199.5200</v>
      </c>
      <c r="AJ42" s="13">
        <v>260.4000</v>
      </c>
      <c r="AK42" s="13">
        <v>219.0700</v>
      </c>
      <c r="AL42" s="13">
        <v>2486.4600</v>
      </c>
    </row>
    <row r="43" ht="10.95" customHeight="true" customFormat="true" s="9">
      <c r="A43" s="12" t="s">
        <v>74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</row>
    <row r="44" ht="10.95" customHeight="true" customFormat="true" s="9">
      <c r="A44" s="12" t="s">
        <v>75</v>
      </c>
      <c r="B44" s="13">
        <v>0</v>
      </c>
      <c r="C44" s="13">
        <v>0</v>
      </c>
      <c r="D44" s="13">
        <v>12.5000</v>
      </c>
      <c r="E44" s="13">
        <v>12.5000</v>
      </c>
      <c r="F44" s="13">
        <v>41.5000</v>
      </c>
      <c r="G44" s="13">
        <v>12.5000</v>
      </c>
      <c r="H44" s="13">
        <v>12.5000</v>
      </c>
      <c r="I44" s="13">
        <v>12.5000</v>
      </c>
      <c r="J44" s="13">
        <v>392.5000</v>
      </c>
      <c r="K44" s="13">
        <v>12.5000</v>
      </c>
      <c r="L44" s="13">
        <v>12.5000</v>
      </c>
      <c r="M44" s="13">
        <v>12.5000</v>
      </c>
      <c r="N44" s="13">
        <v>372.5000</v>
      </c>
      <c r="O44" s="13">
        <v>12.5000</v>
      </c>
      <c r="P44" s="13">
        <v>440.0000</v>
      </c>
      <c r="Q44" s="13">
        <v>25.0000</v>
      </c>
      <c r="R44" s="13">
        <v>29.0000</v>
      </c>
      <c r="S44" s="13">
        <v>0</v>
      </c>
      <c r="T44" s="13">
        <v>0</v>
      </c>
      <c r="U44" s="13">
        <v>12.5000</v>
      </c>
      <c r="V44" s="13">
        <v>12.5000</v>
      </c>
      <c r="W44" s="13">
        <v>12.5000</v>
      </c>
      <c r="X44" s="13">
        <v>12.5000</v>
      </c>
      <c r="Y44" s="13">
        <v>12.5000</v>
      </c>
      <c r="Z44" s="13">
        <v>12.5000</v>
      </c>
      <c r="AA44" s="13">
        <v>12.5000</v>
      </c>
      <c r="AB44" s="13">
        <v>12.5000</v>
      </c>
      <c r="AC44" s="13">
        <v>12.5000</v>
      </c>
      <c r="AD44" s="13">
        <v>41.5000</v>
      </c>
      <c r="AE44" s="13">
        <v>12.5000</v>
      </c>
      <c r="AF44" s="13">
        <v>12.5000</v>
      </c>
      <c r="AG44" s="13">
        <v>12.5000</v>
      </c>
      <c r="AH44" s="13">
        <v>67.5000</v>
      </c>
      <c r="AI44" s="13">
        <v>12.5000</v>
      </c>
      <c r="AJ44" s="13">
        <v>12.5000</v>
      </c>
      <c r="AK44" s="13">
        <v>12.5000</v>
      </c>
      <c r="AL44" s="13">
        <v>12.5000</v>
      </c>
    </row>
    <row r="45" ht="10.95" customHeight="true" customFormat="true" s="9">
      <c r="A45" s="12" t="s">
        <v>76</v>
      </c>
      <c r="B45" s="13">
        <v>0</v>
      </c>
      <c r="C45" s="13">
        <v>1187.9400</v>
      </c>
      <c r="D45" s="13">
        <v>1010.4800</v>
      </c>
      <c r="E45" s="13">
        <v>895.4800</v>
      </c>
      <c r="F45" s="13">
        <v>800.4800</v>
      </c>
      <c r="G45" s="13">
        <v>800.4800</v>
      </c>
      <c r="H45" s="13">
        <v>800.4800</v>
      </c>
      <c r="I45" s="13">
        <v>800.4800</v>
      </c>
      <c r="J45" s="13">
        <v>800.4800</v>
      </c>
      <c r="K45" s="13">
        <v>784.4200</v>
      </c>
      <c r="L45" s="13">
        <v>768.9200</v>
      </c>
      <c r="M45" s="13">
        <v>768.9200</v>
      </c>
      <c r="N45" s="13">
        <v>628.9200</v>
      </c>
      <c r="O45" s="13">
        <v>4501.4800</v>
      </c>
      <c r="P45" s="13">
        <v>628.9200</v>
      </c>
      <c r="Q45" s="13">
        <v>628.9200</v>
      </c>
      <c r="R45" s="13">
        <v>661.4200</v>
      </c>
      <c r="S45" s="13">
        <v>1600.3600</v>
      </c>
      <c r="T45" s="13">
        <v>573.9900</v>
      </c>
      <c r="U45" s="13">
        <v>573.9900</v>
      </c>
      <c r="V45" s="13">
        <v>703.9900</v>
      </c>
      <c r="W45" s="13">
        <v>1358.9900</v>
      </c>
      <c r="X45" s="13">
        <v>486.5300</v>
      </c>
      <c r="Y45" s="13">
        <v>616.5300</v>
      </c>
      <c r="Z45" s="13">
        <v>486.5300</v>
      </c>
      <c r="AA45" s="13">
        <v>719.0800</v>
      </c>
      <c r="AB45" s="13">
        <v>459.0800</v>
      </c>
      <c r="AC45" s="13">
        <v>459.0800</v>
      </c>
      <c r="AD45" s="13">
        <v>459.0800</v>
      </c>
      <c r="AE45" s="13">
        <v>451.1700</v>
      </c>
      <c r="AF45" s="13">
        <v>428.7000</v>
      </c>
      <c r="AG45" s="13">
        <v>363.7000</v>
      </c>
      <c r="AH45" s="13">
        <v>363.7000</v>
      </c>
      <c r="AI45" s="13">
        <v>764.6200</v>
      </c>
      <c r="AJ45" s="13">
        <v>473.6200</v>
      </c>
      <c r="AK45" s="13">
        <v>308.9000</v>
      </c>
      <c r="AL45" s="13">
        <v>812.9700</v>
      </c>
    </row>
    <row r="46" ht="10.95" customHeight="true" customFormat="true" s="9">
      <c r="A46" s="12" t="s">
        <v>77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326.2100</v>
      </c>
      <c r="L46" s="13">
        <v>214.9000</v>
      </c>
      <c r="M46" s="13">
        <v>158.2800</v>
      </c>
      <c r="N46" s="13">
        <v>28.5200</v>
      </c>
      <c r="O46" s="13">
        <v>0</v>
      </c>
      <c r="P46" s="13">
        <v>0</v>
      </c>
      <c r="Q46" s="13">
        <v>0</v>
      </c>
      <c r="R46" s="13">
        <v>0</v>
      </c>
      <c r="S46" s="13">
        <v>101.1900</v>
      </c>
      <c r="T46" s="13">
        <v>0</v>
      </c>
      <c r="U46" s="13">
        <v>0</v>
      </c>
      <c r="V46" s="13">
        <v>16.6700</v>
      </c>
      <c r="W46" s="13">
        <v>18.0000</v>
      </c>
      <c r="X46" s="13">
        <v>24.1500</v>
      </c>
      <c r="Y46" s="13">
        <v>0</v>
      </c>
      <c r="Z46" s="13">
        <v>0</v>
      </c>
      <c r="AA46" s="13">
        <v>0</v>
      </c>
      <c r="AB46" s="13">
        <v>97.4900</v>
      </c>
      <c r="AC46" s="13">
        <v>0</v>
      </c>
      <c r="AD46" s="13">
        <v>30.6400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9308.4200</v>
      </c>
    </row>
    <row r="47" ht="10.95" customHeight="true" customFormat="true" s="9">
      <c r="A47" s="12" t="s">
        <v>78</v>
      </c>
      <c r="B47" s="13">
        <v>0</v>
      </c>
      <c r="C47" s="13">
        <v>0</v>
      </c>
      <c r="D47" s="13">
        <v>0</v>
      </c>
      <c r="E47" s="13">
        <v>644.1000</v>
      </c>
      <c r="F47" s="13">
        <v>185.2700</v>
      </c>
      <c r="G47" s="13">
        <v>428.0400</v>
      </c>
      <c r="H47" s="13">
        <v>29.6000</v>
      </c>
      <c r="I47" s="13">
        <v>304.1800</v>
      </c>
      <c r="J47" s="13">
        <v>104.5100</v>
      </c>
      <c r="K47" s="13">
        <v>210.3000</v>
      </c>
      <c r="L47" s="13">
        <v>530.2400</v>
      </c>
      <c r="M47" s="13">
        <v>114.3900</v>
      </c>
      <c r="N47" s="13">
        <v>86.9500</v>
      </c>
      <c r="O47" s="13">
        <v>11.3000</v>
      </c>
      <c r="P47" s="13">
        <v>5.0000</v>
      </c>
      <c r="Q47" s="13">
        <v>0</v>
      </c>
      <c r="R47" s="13">
        <v>17.8500</v>
      </c>
      <c r="S47" s="13">
        <v>5.0000</v>
      </c>
      <c r="T47" s="13">
        <v>0</v>
      </c>
      <c r="U47" s="13">
        <v>0</v>
      </c>
      <c r="V47" s="13">
        <v>8.7000</v>
      </c>
      <c r="W47" s="13">
        <v>347.3300</v>
      </c>
      <c r="X47" s="13">
        <v>209.1500</v>
      </c>
      <c r="Y47" s="13">
        <v>267.2000</v>
      </c>
      <c r="Z47" s="13">
        <v>99.1100</v>
      </c>
      <c r="AA47" s="13">
        <v>113.9400</v>
      </c>
      <c r="AB47" s="13">
        <v>139.1000</v>
      </c>
      <c r="AC47" s="13">
        <v>151.7500</v>
      </c>
      <c r="AD47" s="13">
        <v>181.2300</v>
      </c>
      <c r="AE47" s="13">
        <v>107.8000</v>
      </c>
      <c r="AF47" s="13">
        <v>142.6500</v>
      </c>
      <c r="AG47" s="13">
        <v>96.3500</v>
      </c>
      <c r="AH47" s="13">
        <v>319.8200</v>
      </c>
      <c r="AI47" s="13">
        <v>67.1500</v>
      </c>
      <c r="AJ47" s="13">
        <v>65.2000</v>
      </c>
      <c r="AK47" s="13">
        <v>12.5900</v>
      </c>
      <c r="AL47" s="13">
        <v>1315.9700</v>
      </c>
    </row>
    <row r="48" ht="10.95" customHeight="true" customFormat="true" s="9">
      <c r="A48" s="12" t="s">
        <v>79</v>
      </c>
      <c r="B48" s="13">
        <v>36.6300</v>
      </c>
      <c r="C48" s="13">
        <v>17536.3300</v>
      </c>
      <c r="D48" s="13">
        <v>7537.5700</v>
      </c>
      <c r="E48" s="13">
        <v>555.1100</v>
      </c>
      <c r="F48" s="13">
        <v>644.3900</v>
      </c>
      <c r="G48" s="13">
        <v>1914.8700</v>
      </c>
      <c r="H48" s="13">
        <v>1821.1200</v>
      </c>
      <c r="I48" s="13">
        <v>593.2300</v>
      </c>
      <c r="J48" s="13">
        <v>535.0600</v>
      </c>
      <c r="K48" s="13">
        <v>3598.4000</v>
      </c>
      <c r="L48" s="13">
        <v>2576.1100</v>
      </c>
      <c r="M48" s="13">
        <v>524.3300</v>
      </c>
      <c r="N48" s="13">
        <v>786.1800</v>
      </c>
      <c r="O48" s="13">
        <v>6884.7200</v>
      </c>
      <c r="P48" s="13">
        <v>4065.0700</v>
      </c>
      <c r="Q48" s="13">
        <v>624.6300</v>
      </c>
      <c r="R48" s="13">
        <v>5985.3600</v>
      </c>
      <c r="S48" s="13">
        <v>1912.1500</v>
      </c>
      <c r="T48" s="13">
        <v>1397.8300</v>
      </c>
      <c r="U48" s="13">
        <v>134.9600</v>
      </c>
      <c r="V48" s="13">
        <v>419.7900</v>
      </c>
      <c r="W48" s="13">
        <v>2434.6900</v>
      </c>
      <c r="X48" s="13">
        <v>280.4100</v>
      </c>
      <c r="Y48" s="13">
        <v>1646.2100</v>
      </c>
      <c r="Z48" s="13">
        <v>342.0000</v>
      </c>
      <c r="AA48" s="13">
        <v>1213.4900</v>
      </c>
      <c r="AB48" s="13">
        <v>6255.2000</v>
      </c>
      <c r="AC48" s="13">
        <v>4420.1500</v>
      </c>
      <c r="AD48" s="13">
        <v>12354.0700</v>
      </c>
      <c r="AE48" s="13">
        <v>172.2500</v>
      </c>
      <c r="AF48" s="13">
        <v>2181.1500</v>
      </c>
      <c r="AG48" s="13">
        <v>166.4300</v>
      </c>
      <c r="AH48" s="13">
        <v>586.7800</v>
      </c>
      <c r="AI48" s="13">
        <v>1816.6600</v>
      </c>
      <c r="AJ48" s="13">
        <v>1776.4300</v>
      </c>
      <c r="AK48" s="13">
        <v>190.2400</v>
      </c>
      <c r="AL48" s="13">
        <v>-4001.3200</v>
      </c>
    </row>
    <row r="49" ht="10.95" customHeight="true" customFormat="true" s="9">
      <c r="A49" s="12" t="s">
        <v>80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4178.9000</v>
      </c>
    </row>
    <row r="50" ht="10.95" customHeight="true" customFormat="true" s="9">
      <c r="A50" s="12" t="s">
        <v>81</v>
      </c>
      <c r="B50" s="13">
        <v>0</v>
      </c>
      <c r="C50" s="13">
        <v>0</v>
      </c>
      <c r="D50" s="13">
        <v>0</v>
      </c>
      <c r="E50" s="13">
        <v>142.5000</v>
      </c>
      <c r="F50" s="13">
        <v>0</v>
      </c>
      <c r="G50" s="13">
        <v>2475.0000</v>
      </c>
      <c r="H50" s="13">
        <v>142.5000</v>
      </c>
      <c r="I50" s="13">
        <v>0</v>
      </c>
      <c r="J50" s="13">
        <v>0</v>
      </c>
      <c r="K50" s="13">
        <v>99.1500</v>
      </c>
      <c r="L50" s="13">
        <v>0</v>
      </c>
      <c r="M50" s="13">
        <v>242.6500</v>
      </c>
      <c r="N50" s="13">
        <v>0</v>
      </c>
      <c r="O50" s="13">
        <v>224.1500</v>
      </c>
      <c r="P50" s="13">
        <v>0</v>
      </c>
      <c r="Q50" s="13">
        <v>0</v>
      </c>
      <c r="R50" s="13">
        <v>0</v>
      </c>
      <c r="S50" s="13">
        <v>2350.0000</v>
      </c>
      <c r="T50" s="13">
        <v>99.1500</v>
      </c>
      <c r="U50" s="13">
        <v>0</v>
      </c>
      <c r="V50" s="13">
        <v>0</v>
      </c>
      <c r="W50" s="13">
        <v>91.5000</v>
      </c>
      <c r="X50" s="13">
        <v>0</v>
      </c>
      <c r="Y50" s="13">
        <v>0</v>
      </c>
      <c r="Z50" s="13">
        <v>91.5000</v>
      </c>
      <c r="AA50" s="13">
        <v>0</v>
      </c>
      <c r="AB50" s="13">
        <v>0</v>
      </c>
      <c r="AC50" s="13">
        <v>91.5000</v>
      </c>
      <c r="AD50" s="13">
        <v>0</v>
      </c>
      <c r="AE50" s="13">
        <v>1615.0000</v>
      </c>
      <c r="AF50" s="13">
        <v>91.5000</v>
      </c>
      <c r="AG50" s="13">
        <v>0</v>
      </c>
      <c r="AH50" s="13">
        <v>0</v>
      </c>
      <c r="AI50" s="13">
        <v>86.4000</v>
      </c>
      <c r="AJ50" s="13">
        <v>13.0000</v>
      </c>
      <c r="AK50" s="13">
        <v>0</v>
      </c>
      <c r="AL50" s="13">
        <v>-5696.6700</v>
      </c>
    </row>
    <row r="51" ht="10.95" customHeight="true" customFormat="true" s="9">
      <c r="A51" s="12" t="s">
        <v>82</v>
      </c>
      <c r="B51" s="13">
        <v>64.2900</v>
      </c>
      <c r="C51" s="13">
        <v>1183.3900</v>
      </c>
      <c r="D51" s="13">
        <v>1193.7100</v>
      </c>
      <c r="E51" s="13">
        <v>445.7900</v>
      </c>
      <c r="F51" s="13">
        <v>536.2900</v>
      </c>
      <c r="G51" s="13">
        <v>420.6200</v>
      </c>
      <c r="H51" s="13">
        <v>381.7900</v>
      </c>
      <c r="I51" s="13">
        <v>377.7600</v>
      </c>
      <c r="J51" s="13">
        <v>1557.4100</v>
      </c>
      <c r="K51" s="13">
        <v>618.4600</v>
      </c>
      <c r="L51" s="13">
        <v>319.7600</v>
      </c>
      <c r="M51" s="13">
        <v>1022.8900</v>
      </c>
      <c r="N51" s="13">
        <v>404.7600</v>
      </c>
      <c r="O51" s="13">
        <v>1035.4200</v>
      </c>
      <c r="P51" s="13">
        <v>421.4300</v>
      </c>
      <c r="Q51" s="13">
        <v>484.1800</v>
      </c>
      <c r="R51" s="13">
        <v>231.1400</v>
      </c>
      <c r="S51" s="13">
        <v>432.8300</v>
      </c>
      <c r="T51" s="13">
        <v>713.1600</v>
      </c>
      <c r="U51" s="13">
        <v>363.5600</v>
      </c>
      <c r="V51" s="13">
        <v>411.4400</v>
      </c>
      <c r="W51" s="13">
        <v>301.3000</v>
      </c>
      <c r="X51" s="13">
        <v>346.3000</v>
      </c>
      <c r="Y51" s="13">
        <v>781.7700</v>
      </c>
      <c r="Z51" s="13">
        <v>199.3200</v>
      </c>
      <c r="AA51" s="13">
        <v>314.6700</v>
      </c>
      <c r="AB51" s="13">
        <v>597.5000</v>
      </c>
      <c r="AC51" s="13">
        <v>249.5000</v>
      </c>
      <c r="AD51" s="13">
        <v>249.5000</v>
      </c>
      <c r="AE51" s="13">
        <v>249.5000</v>
      </c>
      <c r="AF51" s="13">
        <v>323.5000</v>
      </c>
      <c r="AG51" s="13">
        <v>346.0000</v>
      </c>
      <c r="AH51" s="13">
        <v>238.5000</v>
      </c>
      <c r="AI51" s="13">
        <v>238.5000</v>
      </c>
      <c r="AJ51" s="13">
        <v>368.5000</v>
      </c>
      <c r="AK51" s="13">
        <v>238.5000</v>
      </c>
      <c r="AL51" s="13">
        <v>88.5000</v>
      </c>
    </row>
    <row r="52" ht="10.95" customHeight="true" customFormat="true" s="9">
      <c r="A52" s="12" t="s">
        <v>83</v>
      </c>
      <c r="B52" s="13">
        <v>0</v>
      </c>
      <c r="C52" s="13">
        <v>320.0000</v>
      </c>
      <c r="D52" s="13">
        <v>320.0000</v>
      </c>
      <c r="E52" s="13">
        <v>320.0000</v>
      </c>
      <c r="F52" s="13">
        <v>320.0000</v>
      </c>
      <c r="G52" s="13">
        <v>1750.0000</v>
      </c>
      <c r="H52" s="13">
        <v>320.0000</v>
      </c>
      <c r="I52" s="13">
        <v>150.0000</v>
      </c>
      <c r="J52" s="13">
        <v>150.0000</v>
      </c>
      <c r="K52" s="13">
        <v>150.0000</v>
      </c>
      <c r="L52" s="13">
        <v>150.0000</v>
      </c>
      <c r="M52" s="13">
        <v>150.0000</v>
      </c>
      <c r="N52" s="13">
        <v>150.0000</v>
      </c>
      <c r="O52" s="13">
        <v>150.0000</v>
      </c>
      <c r="P52" s="13">
        <v>2790.0000</v>
      </c>
      <c r="Q52" s="13">
        <v>150.0000</v>
      </c>
      <c r="R52" s="13">
        <v>150.0000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85.0000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608.0000</v>
      </c>
      <c r="AI52" s="13">
        <v>0</v>
      </c>
      <c r="AJ52" s="13">
        <v>0</v>
      </c>
      <c r="AK52" s="13">
        <v>0</v>
      </c>
      <c r="AL52" s="13">
        <v>2719.9500</v>
      </c>
    </row>
    <row r="53" ht="10.95" customHeight="true" customFormat="true" s="9">
      <c r="A53" s="12" t="s">
        <v>84</v>
      </c>
      <c r="B53" s="13">
        <v>0</v>
      </c>
      <c r="C53" s="13">
        <v>38.0000</v>
      </c>
      <c r="D53" s="13">
        <v>1500.0000</v>
      </c>
      <c r="E53" s="13">
        <v>240.0000</v>
      </c>
      <c r="F53" s="13">
        <v>0</v>
      </c>
      <c r="G53" s="13">
        <v>40.0000</v>
      </c>
      <c r="H53" s="13">
        <v>0</v>
      </c>
      <c r="I53" s="13">
        <v>0</v>
      </c>
      <c r="J53" s="13">
        <v>0</v>
      </c>
      <c r="K53" s="13">
        <v>38.0000</v>
      </c>
      <c r="L53" s="13">
        <v>47.0000</v>
      </c>
      <c r="M53" s="13">
        <v>0</v>
      </c>
      <c r="N53" s="13">
        <v>0</v>
      </c>
      <c r="O53" s="13">
        <v>0</v>
      </c>
      <c r="P53" s="13">
        <v>9.0000</v>
      </c>
      <c r="Q53" s="13">
        <v>240.0000</v>
      </c>
      <c r="R53" s="13">
        <v>38.0000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40.0000</v>
      </c>
      <c r="Y53" s="13">
        <v>0</v>
      </c>
      <c r="Z53" s="13">
        <v>7.0000</v>
      </c>
      <c r="AA53" s="13">
        <v>12.7500</v>
      </c>
      <c r="AB53" s="13">
        <v>0</v>
      </c>
      <c r="AC53" s="13">
        <v>52.3500</v>
      </c>
      <c r="AD53" s="13">
        <v>0</v>
      </c>
      <c r="AE53" s="13">
        <v>0</v>
      </c>
      <c r="AF53" s="13">
        <v>2.0000</v>
      </c>
      <c r="AG53" s="13">
        <v>4.8900</v>
      </c>
      <c r="AH53" s="13">
        <v>0</v>
      </c>
      <c r="AI53" s="13">
        <v>0</v>
      </c>
      <c r="AJ53" s="13">
        <v>0</v>
      </c>
      <c r="AK53" s="13">
        <v>0</v>
      </c>
      <c r="AL53" s="13">
        <v>-1020.2100</v>
      </c>
    </row>
    <row r="54" ht="10.95" customHeight="true" customFormat="true" s="9">
      <c r="A54" s="12" t="s">
        <v>85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</row>
    <row r="55" ht="10.95" customHeight="true" customFormat="true" s="9">
      <c r="A55" s="12" t="s">
        <v>86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19580.3900</v>
      </c>
    </row>
    <row r="56" ht="10.95" customHeight="true" customFormat="true" s="9">
      <c r="A56" s="12" t="s">
        <v>87</v>
      </c>
      <c r="B56" s="13">
        <v>0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</row>
    <row r="57" ht="10.95" customHeight="true" customFormat="true" s="9">
      <c r="A57" s="12" t="s">
        <v>88</v>
      </c>
      <c r="B57" s="13">
        <v>0</v>
      </c>
      <c r="C57" s="13">
        <v>0</v>
      </c>
      <c r="D57" s="13">
        <v>1564.8000</v>
      </c>
      <c r="E57" s="13">
        <v>180.8000</v>
      </c>
      <c r="F57" s="13">
        <v>480.0000</v>
      </c>
      <c r="G57" s="13">
        <v>0</v>
      </c>
      <c r="H57" s="13">
        <v>288.7500</v>
      </c>
      <c r="I57" s="13">
        <v>1248.6100</v>
      </c>
      <c r="J57" s="13">
        <v>0</v>
      </c>
      <c r="K57" s="13">
        <v>290.7600</v>
      </c>
      <c r="L57" s="13">
        <v>461.7000</v>
      </c>
      <c r="M57" s="13">
        <v>0</v>
      </c>
      <c r="N57" s="13">
        <v>0</v>
      </c>
      <c r="O57" s="13">
        <v>1527.4100</v>
      </c>
      <c r="P57" s="13">
        <v>323.1500</v>
      </c>
      <c r="Q57" s="13">
        <v>223.5000</v>
      </c>
      <c r="R57" s="13">
        <v>134.7000</v>
      </c>
      <c r="S57" s="13">
        <v>394.9900</v>
      </c>
      <c r="T57" s="13">
        <v>0</v>
      </c>
      <c r="U57" s="13">
        <v>911.6800</v>
      </c>
      <c r="V57" s="13">
        <v>512.4600</v>
      </c>
      <c r="W57" s="13">
        <v>33.2500</v>
      </c>
      <c r="X57" s="13">
        <v>222.5000</v>
      </c>
      <c r="Y57" s="13">
        <v>146.3100</v>
      </c>
      <c r="Z57" s="13">
        <v>537.7500</v>
      </c>
      <c r="AA57" s="13">
        <v>14.5000</v>
      </c>
      <c r="AB57" s="13">
        <v>76.6500</v>
      </c>
      <c r="AC57" s="13">
        <v>31.3000</v>
      </c>
      <c r="AD57" s="13">
        <v>21.5000</v>
      </c>
      <c r="AE57" s="13">
        <v>36.0000</v>
      </c>
      <c r="AF57" s="13">
        <v>157.5000</v>
      </c>
      <c r="AG57" s="13">
        <v>377.5200</v>
      </c>
      <c r="AH57" s="13">
        <v>0</v>
      </c>
      <c r="AI57" s="13">
        <v>0</v>
      </c>
      <c r="AJ57" s="13">
        <v>247.0900</v>
      </c>
      <c r="AK57" s="13">
        <v>0</v>
      </c>
      <c r="AL57" s="13">
        <v>-1098.1800</v>
      </c>
    </row>
    <row r="58" ht="10.95" customHeight="true" customFormat="true" s="9">
      <c r="A58" s="12" t="s">
        <v>89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6879.0000</v>
      </c>
    </row>
    <row r="59" ht="10.95" customHeight="true" customFormat="true" s="9">
      <c r="A59" s="12" t="s">
        <v>90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-80.0000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</row>
    <row r="60" ht="10.95" customHeight="true" customFormat="true" s="9">
      <c r="A60" s="12" t="s">
        <v>91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</row>
    <row r="61" ht="10.95" customHeight="true" customFormat="true" s="9">
      <c r="A61" s="12" t="s">
        <v>92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</row>
    <row r="62" ht="10.95" customHeight="true" customFormat="true" s="9">
      <c r="A62" s="12" t="s">
        <v>93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</row>
    <row r="63" ht="10.95" customHeight="true" customFormat="true" s="9">
      <c r="A63" s="12" t="s">
        <v>94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</row>
    <row r="64" ht="10.95" customHeight="true" customFormat="true" s="9">
      <c r="A64" s="12" t="s">
        <v>95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12422.0000</v>
      </c>
    </row>
    <row r="65" ht="10.95" customHeight="true" customFormat="true" s="9">
      <c r="A65" s="12" t="s">
        <v>96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0</v>
      </c>
      <c r="AF65" s="13">
        <v>0</v>
      </c>
      <c r="AG65" s="13">
        <v>0</v>
      </c>
      <c r="AH65" s="13">
        <v>0</v>
      </c>
      <c r="AI65" s="13">
        <v>0</v>
      </c>
      <c r="AJ65" s="13">
        <v>0</v>
      </c>
      <c r="AK65" s="13">
        <v>0</v>
      </c>
      <c r="AL65" s="13">
        <v>0</v>
      </c>
    </row>
    <row r="66" ht="10.95" customHeight="true" customFormat="true" s="9">
      <c r="A66" s="12" t="s">
        <v>97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  <c r="AJ66" s="13">
        <v>0</v>
      </c>
      <c r="AK66" s="13">
        <v>0</v>
      </c>
      <c r="AL66" s="13">
        <v>0</v>
      </c>
    </row>
    <row r="67" ht="10.95" customHeight="true" customFormat="true" s="9">
      <c r="A67" s="12" t="s">
        <v>98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  <c r="AK67" s="13">
        <v>0</v>
      </c>
      <c r="AL67" s="13">
        <v>0</v>
      </c>
    </row>
    <row r="68" ht="10.95" customHeight="true" customFormat="true" s="9">
      <c r="A68" s="14" t="s">
        <v>99</v>
      </c>
      <c r="B68" s="15">
        <f ca="1">SUM(B29:B67)</f>
        <v>0</v>
      </c>
      <c r="C68" s="15">
        <f ca="1">SUM(C29:C67)</f>
        <v>0</v>
      </c>
      <c r="D68" s="15">
        <f ca="1">SUM(D29:D67)</f>
        <v>0</v>
      </c>
      <c r="E68" s="15">
        <f ca="1">SUM(E29:E67)</f>
        <v>0</v>
      </c>
      <c r="F68" s="15">
        <f ca="1">SUM(F29:F67)</f>
        <v>0</v>
      </c>
      <c r="G68" s="15">
        <f ca="1">SUM(G29:G67)</f>
        <v>0</v>
      </c>
      <c r="H68" s="15">
        <f ca="1">SUM(H29:H67)</f>
        <v>0</v>
      </c>
      <c r="I68" s="15">
        <f ca="1">SUM(I29:I67)</f>
        <v>0</v>
      </c>
      <c r="J68" s="15">
        <f ca="1">SUM(J29:J67)</f>
        <v>0</v>
      </c>
      <c r="K68" s="15">
        <f ca="1">SUM(K29:K67)</f>
        <v>0</v>
      </c>
      <c r="L68" s="15">
        <f ca="1">SUM(L29:L67)</f>
        <v>0</v>
      </c>
      <c r="M68" s="15">
        <f ca="1">SUM(M29:M67)</f>
        <v>0</v>
      </c>
      <c r="N68" s="15">
        <f ca="1">SUM(N29:N67)</f>
        <v>0</v>
      </c>
      <c r="O68" s="15">
        <f ca="1">SUM(O29:O67)</f>
        <v>0</v>
      </c>
      <c r="P68" s="15">
        <f ca="1">SUM(P29:P67)</f>
        <v>0</v>
      </c>
      <c r="Q68" s="15">
        <f ca="1">SUM(Q29:Q67)</f>
        <v>0</v>
      </c>
      <c r="R68" s="15">
        <f ca="1">SUM(R29:R67)</f>
        <v>0</v>
      </c>
      <c r="S68" s="15">
        <f ca="1">SUM(S29:S67)</f>
        <v>0</v>
      </c>
      <c r="T68" s="15">
        <f ca="1">SUM(T29:T67)</f>
        <v>0</v>
      </c>
      <c r="U68" s="15">
        <f ca="1">SUM(U29:U67)</f>
        <v>0</v>
      </c>
      <c r="V68" s="15">
        <f ca="1">SUM(V29:V67)</f>
        <v>0</v>
      </c>
      <c r="W68" s="15">
        <f ca="1">SUM(W29:W67)</f>
        <v>0</v>
      </c>
      <c r="X68" s="15">
        <f ca="1">SUM(X29:X67)</f>
        <v>0</v>
      </c>
      <c r="Y68" s="15">
        <f ca="1">SUM(Y29:Y67)</f>
        <v>0</v>
      </c>
      <c r="Z68" s="15">
        <f ca="1">SUM(Z29:Z67)</f>
        <v>0</v>
      </c>
      <c r="AA68" s="15">
        <f ca="1">SUM(AA29:AA67)</f>
        <v>0</v>
      </c>
      <c r="AB68" s="15">
        <f ca="1">SUM(AB29:AB67)</f>
        <v>0</v>
      </c>
      <c r="AC68" s="15">
        <f ca="1">SUM(AC29:AC67)</f>
        <v>0</v>
      </c>
      <c r="AD68" s="15">
        <f ca="1">SUM(AD29:AD67)</f>
        <v>0</v>
      </c>
      <c r="AE68" s="15">
        <f ca="1">SUM(AE29:AE67)</f>
        <v>0</v>
      </c>
      <c r="AF68" s="15">
        <f ca="1">SUM(AF29:AF67)</f>
        <v>0</v>
      </c>
      <c r="AG68" s="15">
        <f ca="1">SUM(AG29:AG67)</f>
        <v>0</v>
      </c>
      <c r="AH68" s="15">
        <f ca="1">SUM(AH29:AH67)</f>
        <v>0</v>
      </c>
      <c r="AI68" s="15">
        <f ca="1">SUM(AI29:AI67)</f>
        <v>0</v>
      </c>
      <c r="AJ68" s="15">
        <f ca="1">SUM(AJ29:AJ67)</f>
        <v>0</v>
      </c>
      <c r="AK68" s="15">
        <f ca="1">SUM(AK29:AK67)</f>
        <v>0</v>
      </c>
      <c r="AL68" s="15">
        <f ca="1">SUM(AL29:AL67)</f>
        <v>0</v>
      </c>
    </row>
    <row r="69" ht="13.35" customHeight="true"/>
    <row r="70" ht="10.95" customHeight="true" customFormat="true" s="9">
      <c r="A70" s="16" t="s">
        <v>100</v>
      </c>
      <c r="B70" s="17">
        <f ca="1">((B26 + 0) - (0 + B68))</f>
        <v>0</v>
      </c>
      <c r="C70" s="17">
        <f ca="1">((C26 + 0) - (0 + C68))</f>
        <v>0</v>
      </c>
      <c r="D70" s="17">
        <f ca="1">((D26 + 0) - (0 + D68))</f>
        <v>0</v>
      </c>
      <c r="E70" s="17">
        <f ca="1">((E26 + 0) - (0 + E68))</f>
        <v>0</v>
      </c>
      <c r="F70" s="17">
        <f ca="1">((F26 + 0) - (0 + F68))</f>
        <v>0</v>
      </c>
      <c r="G70" s="17">
        <f ca="1">((G26 + 0) - (0 + G68))</f>
        <v>0</v>
      </c>
      <c r="H70" s="17">
        <f ca="1">((H26 + 0) - (0 + H68))</f>
        <v>0</v>
      </c>
      <c r="I70" s="17">
        <f ca="1">((I26 + 0) - (0 + I68))</f>
        <v>0</v>
      </c>
      <c r="J70" s="17">
        <f ca="1">((J26 + 0) - (0 + J68))</f>
        <v>0</v>
      </c>
      <c r="K70" s="17">
        <f ca="1">((K26 + 0) - (0 + K68))</f>
        <v>0</v>
      </c>
      <c r="L70" s="17">
        <f ca="1">((L26 + 0) - (0 + L68))</f>
        <v>0</v>
      </c>
      <c r="M70" s="17">
        <f ca="1">((M26 + 0) - (0 + M68))</f>
        <v>0</v>
      </c>
      <c r="N70" s="17">
        <f ca="1">((N26 + 0) - (0 + N68))</f>
        <v>0</v>
      </c>
      <c r="O70" s="17">
        <f ca="1">((O26 + 0) - (0 + O68))</f>
        <v>0</v>
      </c>
      <c r="P70" s="17">
        <f ca="1">((P26 + 0) - (0 + P68))</f>
        <v>0</v>
      </c>
      <c r="Q70" s="17">
        <f ca="1">((Q26 + 0) - (0 + Q68))</f>
        <v>0</v>
      </c>
      <c r="R70" s="17">
        <f ca="1">((R26 + 0) - (0 + R68))</f>
        <v>0</v>
      </c>
      <c r="S70" s="17">
        <f ca="1">((S26 + 0) - (0 + S68))</f>
        <v>0</v>
      </c>
      <c r="T70" s="17">
        <f ca="1">((T26 + 0) - (0 + T68))</f>
        <v>0</v>
      </c>
      <c r="U70" s="17">
        <f ca="1">((U26 + 0) - (0 + U68))</f>
        <v>0</v>
      </c>
      <c r="V70" s="17">
        <f ca="1">((V26 + 0) - (0 + V68))</f>
        <v>0</v>
      </c>
      <c r="W70" s="17">
        <f ca="1">((W26 + 0) - (0 + W68))</f>
        <v>0</v>
      </c>
      <c r="X70" s="17">
        <f ca="1">((X26 + 0) - (0 + X68))</f>
        <v>0</v>
      </c>
      <c r="Y70" s="17">
        <f ca="1">((Y26 + 0) - (0 + Y68))</f>
        <v>0</v>
      </c>
      <c r="Z70" s="17">
        <f ca="1">((Z26 + 0) - (0 + Z68))</f>
        <v>0</v>
      </c>
      <c r="AA70" s="17">
        <f ca="1">((AA26 + 0) - (0 + AA68))</f>
        <v>0</v>
      </c>
      <c r="AB70" s="17">
        <f ca="1">((AB26 + 0) - (0 + AB68))</f>
        <v>0</v>
      </c>
      <c r="AC70" s="17">
        <f ca="1">((AC26 + 0) - (0 + AC68))</f>
        <v>0</v>
      </c>
      <c r="AD70" s="17">
        <f ca="1">((AD26 + 0) - (0 + AD68))</f>
        <v>0</v>
      </c>
      <c r="AE70" s="17">
        <f ca="1">((AE26 + 0) - (0 + AE68))</f>
        <v>0</v>
      </c>
      <c r="AF70" s="17">
        <f ca="1">((AF26 + 0) - (0 + AF68))</f>
        <v>0</v>
      </c>
      <c r="AG70" s="17">
        <f ca="1">((AG26 + 0) - (0 + AG68))</f>
        <v>0</v>
      </c>
      <c r="AH70" s="17">
        <f ca="1">((AH26 + 0) - (0 + AH68))</f>
        <v>0</v>
      </c>
      <c r="AI70" s="17">
        <f ca="1">((AI26 + 0) - (0 + AI68))</f>
        <v>0</v>
      </c>
      <c r="AJ70" s="17">
        <f ca="1">((AJ26 + 0) - (0 + AJ68))</f>
        <v>0</v>
      </c>
      <c r="AK70" s="17">
        <f ca="1">((AK26 + 0) - (0 + AK68))</f>
        <v>0</v>
      </c>
      <c r="AL70" s="17">
        <f ca="1">((AL26 + 0) - (0 + AL68))</f>
        <v>0</v>
      </c>
    </row>
    <row r="71" ht="13.35" customHeight="true"/>
    <row r="72" ht="10.95" customHeight="true" customFormat="true" s="9">
      <c r="A72" s="16" t="s">
        <v>101</v>
      </c>
      <c r="B72" s="17">
        <f ca="1">(B70 + 0)</f>
        <v>0</v>
      </c>
      <c r="C72" s="17">
        <f ca="1">(C70 + 0)</f>
        <v>0</v>
      </c>
      <c r="D72" s="17">
        <f ca="1">(D70 + 0)</f>
        <v>0</v>
      </c>
      <c r="E72" s="17">
        <f ca="1">(E70 + 0)</f>
        <v>0</v>
      </c>
      <c r="F72" s="17">
        <f ca="1">(F70 + 0)</f>
        <v>0</v>
      </c>
      <c r="G72" s="17">
        <f ca="1">(G70 + 0)</f>
        <v>0</v>
      </c>
      <c r="H72" s="17">
        <f ca="1">(H70 + 0)</f>
        <v>0</v>
      </c>
      <c r="I72" s="17">
        <f ca="1">(I70 + 0)</f>
        <v>0</v>
      </c>
      <c r="J72" s="17">
        <f ca="1">(J70 + 0)</f>
        <v>0</v>
      </c>
      <c r="K72" s="17">
        <f ca="1">(K70 + 0)</f>
        <v>0</v>
      </c>
      <c r="L72" s="17">
        <f ca="1">(L70 + 0)</f>
        <v>0</v>
      </c>
      <c r="M72" s="17">
        <f ca="1">(M70 + 0)</f>
        <v>0</v>
      </c>
      <c r="N72" s="17">
        <f ca="1">(N70 + 0)</f>
        <v>0</v>
      </c>
      <c r="O72" s="17">
        <f ca="1">(O70 + 0)</f>
        <v>0</v>
      </c>
      <c r="P72" s="17">
        <f ca="1">(P70 + 0)</f>
        <v>0</v>
      </c>
      <c r="Q72" s="17">
        <f ca="1">(Q70 + 0)</f>
        <v>0</v>
      </c>
      <c r="R72" s="17">
        <f ca="1">(R70 + 0)</f>
        <v>0</v>
      </c>
      <c r="S72" s="17">
        <f ca="1">(S70 + 0)</f>
        <v>0</v>
      </c>
      <c r="T72" s="17">
        <f ca="1">(T70 + 0)</f>
        <v>0</v>
      </c>
      <c r="U72" s="17">
        <f ca="1">(U70 + 0)</f>
        <v>0</v>
      </c>
      <c r="V72" s="17">
        <f ca="1">(V70 + 0)</f>
        <v>0</v>
      </c>
      <c r="W72" s="17">
        <f ca="1">(W70 + 0)</f>
        <v>0</v>
      </c>
      <c r="X72" s="17">
        <f ca="1">(X70 + 0)</f>
        <v>0</v>
      </c>
      <c r="Y72" s="17">
        <f ca="1">(Y70 + 0)</f>
        <v>0</v>
      </c>
      <c r="Z72" s="17">
        <f ca="1">(Z70 + 0)</f>
        <v>0</v>
      </c>
      <c r="AA72" s="17">
        <f ca="1">(AA70 + 0)</f>
        <v>0</v>
      </c>
      <c r="AB72" s="17">
        <f ca="1">(AB70 + 0)</f>
        <v>0</v>
      </c>
      <c r="AC72" s="17">
        <f ca="1">(AC70 + 0)</f>
        <v>0</v>
      </c>
      <c r="AD72" s="17">
        <f ca="1">(AD70 + 0)</f>
        <v>0</v>
      </c>
      <c r="AE72" s="17">
        <f ca="1">(AE70 + 0)</f>
        <v>0</v>
      </c>
      <c r="AF72" s="17">
        <f ca="1">(AF70 + 0)</f>
        <v>0</v>
      </c>
      <c r="AG72" s="17">
        <f ca="1">(AG70 + 0)</f>
        <v>0</v>
      </c>
      <c r="AH72" s="17">
        <f ca="1">(AH70 + 0)</f>
        <v>0</v>
      </c>
      <c r="AI72" s="17">
        <f ca="1">(AI70 + 0)</f>
        <v>0</v>
      </c>
      <c r="AJ72" s="17">
        <f ca="1">(AJ70 + 0)</f>
        <v>0</v>
      </c>
      <c r="AK72" s="17">
        <f ca="1">(AK70 + 0)</f>
        <v>0</v>
      </c>
      <c r="AL72" s="17">
        <f ca="1">(AL70 + 0)</f>
        <v>0</v>
      </c>
    </row>
    <row r="73" ht="13.35" customHeight="true"/>
    <row r="74" ht="10.95" customHeight="true" customFormat="true" s="9">
      <c r="A74" s="16" t="s">
        <v>102</v>
      </c>
      <c r="B74" s="17">
        <f ca="1">(B72 - 0)</f>
        <v>0</v>
      </c>
      <c r="C74" s="17">
        <f ca="1">(C72 - 0)</f>
        <v>0</v>
      </c>
      <c r="D74" s="17">
        <f ca="1">(D72 - 0)</f>
        <v>0</v>
      </c>
      <c r="E74" s="17">
        <f ca="1">(E72 - 0)</f>
        <v>0</v>
      </c>
      <c r="F74" s="17">
        <f ca="1">(F72 - 0)</f>
        <v>0</v>
      </c>
      <c r="G74" s="17">
        <f ca="1">(G72 - 0)</f>
        <v>0</v>
      </c>
      <c r="H74" s="17">
        <f ca="1">(H72 - 0)</f>
        <v>0</v>
      </c>
      <c r="I74" s="17">
        <f ca="1">(I72 - 0)</f>
        <v>0</v>
      </c>
      <c r="J74" s="17">
        <f ca="1">(J72 - 0)</f>
        <v>0</v>
      </c>
      <c r="K74" s="17">
        <f ca="1">(K72 - 0)</f>
        <v>0</v>
      </c>
      <c r="L74" s="17">
        <f ca="1">(L72 - 0)</f>
        <v>0</v>
      </c>
      <c r="M74" s="17">
        <f ca="1">(M72 - 0)</f>
        <v>0</v>
      </c>
      <c r="N74" s="17">
        <f ca="1">(N72 - 0)</f>
        <v>0</v>
      </c>
      <c r="O74" s="17">
        <f ca="1">(O72 - 0)</f>
        <v>0</v>
      </c>
      <c r="P74" s="17">
        <f ca="1">(P72 - 0)</f>
        <v>0</v>
      </c>
      <c r="Q74" s="17">
        <f ca="1">(Q72 - 0)</f>
        <v>0</v>
      </c>
      <c r="R74" s="17">
        <f ca="1">(R72 - 0)</f>
        <v>0</v>
      </c>
      <c r="S74" s="17">
        <f ca="1">(S72 - 0)</f>
        <v>0</v>
      </c>
      <c r="T74" s="17">
        <f ca="1">(T72 - 0)</f>
        <v>0</v>
      </c>
      <c r="U74" s="17">
        <f ca="1">(U72 - 0)</f>
        <v>0</v>
      </c>
      <c r="V74" s="17">
        <f ca="1">(V72 - 0)</f>
        <v>0</v>
      </c>
      <c r="W74" s="17">
        <f ca="1">(W72 - 0)</f>
        <v>0</v>
      </c>
      <c r="X74" s="17">
        <f ca="1">(X72 - 0)</f>
        <v>0</v>
      </c>
      <c r="Y74" s="17">
        <f ca="1">(Y72 - 0)</f>
        <v>0</v>
      </c>
      <c r="Z74" s="17">
        <f ca="1">(Z72 - 0)</f>
        <v>0</v>
      </c>
      <c r="AA74" s="17">
        <f ca="1">(AA72 - 0)</f>
        <v>0</v>
      </c>
      <c r="AB74" s="17">
        <f ca="1">(AB72 - 0)</f>
        <v>0</v>
      </c>
      <c r="AC74" s="17">
        <f ca="1">(AC72 - 0)</f>
        <v>0</v>
      </c>
      <c r="AD74" s="17">
        <f ca="1">(AD72 - 0)</f>
        <v>0</v>
      </c>
      <c r="AE74" s="17">
        <f ca="1">(AE72 - 0)</f>
        <v>0</v>
      </c>
      <c r="AF74" s="17">
        <f ca="1">(AF72 - 0)</f>
        <v>0</v>
      </c>
      <c r="AG74" s="17">
        <f ca="1">(AG72 - 0)</f>
        <v>0</v>
      </c>
      <c r="AH74" s="17">
        <f ca="1">(AH72 - 0)</f>
        <v>0</v>
      </c>
      <c r="AI74" s="17">
        <f ca="1">(AI72 - 0)</f>
        <v>0</v>
      </c>
      <c r="AJ74" s="17">
        <f ca="1">(AJ72 - 0)</f>
        <v>0</v>
      </c>
      <c r="AK74" s="17">
        <f ca="1">(AK72 - 0)</f>
        <v>0</v>
      </c>
      <c r="AL74" s="17">
        <f ca="1">(AL72 - 0)</f>
        <v>0</v>
      </c>
    </row>
    <row r="75" ht="13.35" customHeight="true"/>
    <row r="76" ht="12.1" customHeight="true" customFormat="true" s="5">
      <c r="A76" s="6" t="s">
        <v>4</v>
      </c>
      <c r="B76" s="7" t="s">
        <v>5</v>
      </c>
      <c r="C76" s="7" t="s">
        <v>6</v>
      </c>
      <c r="D76" s="7" t="s">
        <v>7</v>
      </c>
      <c r="E76" s="7" t="s">
        <v>8</v>
      </c>
      <c r="F76" s="7" t="s">
        <v>9</v>
      </c>
      <c r="G76" s="7" t="s">
        <v>10</v>
      </c>
      <c r="H76" s="7" t="s">
        <v>11</v>
      </c>
      <c r="I76" s="7" t="s">
        <v>12</v>
      </c>
      <c r="J76" s="7" t="s">
        <v>13</v>
      </c>
      <c r="K76" s="7" t="s">
        <v>14</v>
      </c>
      <c r="L76" s="7" t="s">
        <v>15</v>
      </c>
      <c r="M76" s="7" t="s">
        <v>16</v>
      </c>
      <c r="N76" s="7" t="s">
        <v>17</v>
      </c>
      <c r="O76" s="7" t="s">
        <v>18</v>
      </c>
      <c r="P76" s="7" t="s">
        <v>19</v>
      </c>
      <c r="Q76" s="7" t="s">
        <v>20</v>
      </c>
      <c r="R76" s="7" t="s">
        <v>21</v>
      </c>
      <c r="S76" s="7" t="s">
        <v>22</v>
      </c>
      <c r="T76" s="7" t="s">
        <v>23</v>
      </c>
      <c r="U76" s="7" t="s">
        <v>24</v>
      </c>
      <c r="V76" s="7" t="s">
        <v>25</v>
      </c>
      <c r="W76" s="7" t="s">
        <v>26</v>
      </c>
      <c r="X76" s="7" t="s">
        <v>27</v>
      </c>
      <c r="Y76" s="7" t="s">
        <v>28</v>
      </c>
      <c r="Z76" s="7" t="s">
        <v>29</v>
      </c>
      <c r="AA76" s="7" t="s">
        <v>30</v>
      </c>
      <c r="AB76" s="7" t="s">
        <v>31</v>
      </c>
      <c r="AC76" s="7" t="s">
        <v>32</v>
      </c>
      <c r="AD76" s="7" t="s">
        <v>33</v>
      </c>
      <c r="AE76" s="7" t="s">
        <v>34</v>
      </c>
      <c r="AF76" s="7" t="s">
        <v>35</v>
      </c>
      <c r="AG76" s="7" t="s">
        <v>36</v>
      </c>
      <c r="AH76" s="7" t="s">
        <v>37</v>
      </c>
      <c r="AI76" s="7" t="s">
        <v>38</v>
      </c>
      <c r="AJ76" s="7" t="s">
        <v>39</v>
      </c>
      <c r="AK76" s="7" t="s">
        <v>40</v>
      </c>
      <c r="AL76" s="7" t="s">
        <v>41</v>
      </c>
    </row>
    <row r="77" ht="13.35" customHeight="true"/>
    <row r="78" ht="12.1" customHeight="true" customFormat="true" s="5">
      <c r="A78" s="8" t="s">
        <v>103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</row>
    <row r="79" ht="10.95" customHeight="true" customFormat="true" s="9">
      <c r="A79" s="10" t="s">
        <v>104</v>
      </c>
      <c r="B79" s="11">
        <v>-34248.5200</v>
      </c>
      <c r="C79" s="11">
        <v>-31393.7500</v>
      </c>
      <c r="D79" s="11">
        <v>-12186.2100</v>
      </c>
      <c r="E79" s="11">
        <v>-68807.1900</v>
      </c>
      <c r="F79" s="11">
        <v>-43488.3400</v>
      </c>
      <c r="G79" s="11">
        <v>-100275.8700</v>
      </c>
      <c r="H79" s="11">
        <v>-77613.8100</v>
      </c>
      <c r="I79" s="11">
        <v>-54495.2200</v>
      </c>
      <c r="J79" s="11">
        <v>-76845.5000</v>
      </c>
      <c r="K79" s="11">
        <v>-38804.4400</v>
      </c>
      <c r="L79" s="11">
        <v>-17946.7000</v>
      </c>
      <c r="M79" s="11">
        <v>1804.1200</v>
      </c>
      <c r="N79" s="11">
        <v>-84946.3800</v>
      </c>
      <c r="O79" s="11">
        <v>-48174.3700</v>
      </c>
      <c r="P79" s="11">
        <v>-40196.0600</v>
      </c>
      <c r="Q79" s="11">
        <v>-67900.7200</v>
      </c>
      <c r="R79" s="11">
        <v>-46743.4800</v>
      </c>
      <c r="S79" s="11">
        <v>-44596.6400</v>
      </c>
      <c r="T79" s="11">
        <v>-16161.4400</v>
      </c>
      <c r="U79" s="11">
        <v>-23830.0000</v>
      </c>
      <c r="V79" s="11">
        <v>-59762.7000</v>
      </c>
      <c r="W79" s="11">
        <v>-43381.2500</v>
      </c>
      <c r="X79" s="11">
        <v>-18457.7700</v>
      </c>
      <c r="Y79" s="11">
        <v>-47318.7200</v>
      </c>
      <c r="Z79" s="11">
        <v>-49747.8800</v>
      </c>
      <c r="AA79" s="11">
        <v>-26510.1000</v>
      </c>
      <c r="AB79" s="11">
        <v>-10290.7300</v>
      </c>
      <c r="AC79" s="11">
        <v>-39002.6000</v>
      </c>
      <c r="AD79" s="11">
        <v>-32408.9100</v>
      </c>
      <c r="AE79" s="11">
        <v>1413.3700</v>
      </c>
      <c r="AF79" s="11">
        <v>-60037.4700</v>
      </c>
      <c r="AG79" s="11">
        <v>-42123.7200</v>
      </c>
      <c r="AH79" s="11">
        <v>-19736.1500</v>
      </c>
      <c r="AI79" s="11">
        <v>-24754.5500</v>
      </c>
      <c r="AJ79" s="11">
        <v>-29872.4600</v>
      </c>
      <c r="AK79" s="11">
        <v>-50866.8300</v>
      </c>
      <c r="AL79" s="11">
        <v>-48838.0800</v>
      </c>
    </row>
    <row r="80" ht="10.95" customHeight="true" customFormat="true" s="9">
      <c r="A80" s="12" t="s">
        <v>105</v>
      </c>
      <c r="B80" s="13">
        <v>16463.4300</v>
      </c>
      <c r="C80" s="13">
        <v>16463.4300</v>
      </c>
      <c r="D80" s="13">
        <v>16463.4300</v>
      </c>
      <c r="E80" s="13">
        <v>16463.4300</v>
      </c>
      <c r="F80" s="13">
        <v>16463.4300</v>
      </c>
      <c r="G80" s="13">
        <v>16463.4300</v>
      </c>
      <c r="H80" s="13">
        <v>16463.4300</v>
      </c>
      <c r="I80" s="13">
        <v>16463.4300</v>
      </c>
      <c r="J80" s="13">
        <v>16463.4300</v>
      </c>
      <c r="K80" s="13">
        <v>16463.4300</v>
      </c>
      <c r="L80" s="13">
        <v>16463.4300</v>
      </c>
      <c r="M80" s="13">
        <v>16463.4300</v>
      </c>
      <c r="N80" s="13">
        <v>16877.3400</v>
      </c>
      <c r="O80" s="13">
        <v>16877.3400</v>
      </c>
      <c r="P80" s="13">
        <v>16877.3400</v>
      </c>
      <c r="Q80" s="13">
        <v>16877.3400</v>
      </c>
      <c r="R80" s="13">
        <v>16877.3400</v>
      </c>
      <c r="S80" s="13">
        <v>16877.3400</v>
      </c>
      <c r="T80" s="13">
        <v>16877.3400</v>
      </c>
      <c r="U80" s="13">
        <v>16877.3400</v>
      </c>
      <c r="V80" s="13">
        <v>16877.3400</v>
      </c>
      <c r="W80" s="13">
        <v>16877.3400</v>
      </c>
      <c r="X80" s="13">
        <v>16877.3400</v>
      </c>
      <c r="Y80" s="13">
        <v>16877.3400</v>
      </c>
      <c r="Z80" s="13">
        <v>16877.3400</v>
      </c>
      <c r="AA80" s="13">
        <v>16877.3400</v>
      </c>
      <c r="AB80" s="13">
        <v>16877.3400</v>
      </c>
      <c r="AC80" s="13">
        <v>16877.3400</v>
      </c>
      <c r="AD80" s="13">
        <v>16877.3400</v>
      </c>
      <c r="AE80" s="13">
        <v>16877.3400</v>
      </c>
      <c r="AF80" s="13">
        <v>16877.3400</v>
      </c>
      <c r="AG80" s="13">
        <v>16877.3400</v>
      </c>
      <c r="AH80" s="13">
        <v>16877.3400</v>
      </c>
      <c r="AI80" s="13">
        <v>16877.3400</v>
      </c>
      <c r="AJ80" s="13">
        <v>16877.3400</v>
      </c>
      <c r="AK80" s="13">
        <v>16877.3400</v>
      </c>
      <c r="AL80" s="13">
        <v>16877.3400</v>
      </c>
    </row>
    <row r="81" ht="10.95" customHeight="true" customFormat="true" s="9">
      <c r="A81" s="12" t="s">
        <v>106</v>
      </c>
      <c r="B81" s="13">
        <v>111379.4600</v>
      </c>
      <c r="C81" s="13">
        <v>111379.4600</v>
      </c>
      <c r="D81" s="13">
        <v>111379.4600</v>
      </c>
      <c r="E81" s="13">
        <v>111379.4600</v>
      </c>
      <c r="F81" s="13">
        <v>35648.7100</v>
      </c>
      <c r="G81" s="13">
        <v>35648.7100</v>
      </c>
      <c r="H81" s="13">
        <v>35648.7100</v>
      </c>
      <c r="I81" s="13">
        <v>35648.7100</v>
      </c>
      <c r="J81" s="13">
        <v>35648.7100</v>
      </c>
      <c r="K81" s="13">
        <v>35648.7100</v>
      </c>
      <c r="L81" s="13">
        <v>35648.7100</v>
      </c>
      <c r="M81" s="13">
        <v>35648.7100</v>
      </c>
      <c r="N81" s="13">
        <v>35648.7100</v>
      </c>
      <c r="O81" s="13">
        <v>35648.7100</v>
      </c>
      <c r="P81" s="13">
        <v>35648.7100</v>
      </c>
      <c r="Q81" s="13">
        <v>35648.7100</v>
      </c>
      <c r="R81" s="13">
        <v>35648.7100</v>
      </c>
      <c r="S81" s="13">
        <v>-46466.4700</v>
      </c>
      <c r="T81" s="13">
        <v>-46466.4700</v>
      </c>
      <c r="U81" s="13">
        <v>-46466.4700</v>
      </c>
      <c r="V81" s="13">
        <v>-46466.4700</v>
      </c>
      <c r="W81" s="13">
        <v>-46466.4700</v>
      </c>
      <c r="X81" s="13">
        <v>-46466.4700</v>
      </c>
      <c r="Y81" s="13">
        <v>-46466.4700</v>
      </c>
      <c r="Z81" s="13">
        <v>-46466.4700</v>
      </c>
      <c r="AA81" s="13">
        <v>-39.9600</v>
      </c>
      <c r="AB81" s="13">
        <v>-39.9600</v>
      </c>
      <c r="AC81" s="13">
        <v>-39.9600</v>
      </c>
      <c r="AD81" s="13">
        <v>-35688.6700</v>
      </c>
      <c r="AE81" s="13">
        <v>-35688.6700</v>
      </c>
      <c r="AF81" s="13">
        <v>-35688.6700</v>
      </c>
      <c r="AG81" s="13">
        <v>-35688.6700</v>
      </c>
      <c r="AH81" s="13">
        <v>-35688.6700</v>
      </c>
      <c r="AI81" s="13">
        <v>-35688.6700</v>
      </c>
      <c r="AJ81" s="13">
        <v>-35688.6700</v>
      </c>
      <c r="AK81" s="13">
        <v>-35688.6700</v>
      </c>
      <c r="AL81" s="13">
        <v>-35688.6700</v>
      </c>
    </row>
    <row r="82" ht="10.95" customHeight="true" customFormat="true" s="9">
      <c r="A82" s="12" t="s">
        <v>95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0</v>
      </c>
      <c r="AG82" s="13">
        <v>0</v>
      </c>
      <c r="AH82" s="13">
        <v>0</v>
      </c>
      <c r="AI82" s="13">
        <v>0</v>
      </c>
      <c r="AJ82" s="13">
        <v>0</v>
      </c>
      <c r="AK82" s="13">
        <v>0</v>
      </c>
      <c r="AL82" s="13">
        <v>12422.0000</v>
      </c>
    </row>
    <row r="83" ht="10.95" customHeight="true" customFormat="true" s="9">
      <c r="A83" s="12" t="s">
        <v>107</v>
      </c>
      <c r="B83" s="13">
        <v>438125.9200</v>
      </c>
      <c r="C83" s="13">
        <v>438125.9200</v>
      </c>
      <c r="D83" s="13">
        <v>430875.9200</v>
      </c>
      <c r="E83" s="13">
        <v>423625.9200</v>
      </c>
      <c r="F83" s="13">
        <v>416375.9200</v>
      </c>
      <c r="G83" s="13">
        <v>409125.9200</v>
      </c>
      <c r="H83" s="13">
        <v>401875.9200</v>
      </c>
      <c r="I83" s="13">
        <v>259625.9200</v>
      </c>
      <c r="J83" s="13">
        <v>259625.9200</v>
      </c>
      <c r="K83" s="13">
        <v>259625.9200</v>
      </c>
      <c r="L83" s="13">
        <v>249625.9200</v>
      </c>
      <c r="M83" s="13">
        <v>249625.9200</v>
      </c>
      <c r="N83" s="13">
        <v>249625.9200</v>
      </c>
      <c r="O83" s="13">
        <v>249625.9200</v>
      </c>
      <c r="P83" s="13">
        <v>249625.9200</v>
      </c>
      <c r="Q83" s="13">
        <v>249625.9200</v>
      </c>
      <c r="R83" s="13">
        <v>249625.9200</v>
      </c>
      <c r="S83" s="13">
        <v>249625.9200</v>
      </c>
      <c r="T83" s="13">
        <v>249625.9200</v>
      </c>
      <c r="U83" s="13">
        <v>238000.0000</v>
      </c>
      <c r="V83" s="13">
        <v>238000.0000</v>
      </c>
      <c r="W83" s="13">
        <v>238000.0000</v>
      </c>
      <c r="X83" s="13">
        <v>238000.0000</v>
      </c>
      <c r="Y83" s="13">
        <v>158000.0000</v>
      </c>
      <c r="Z83" s="13">
        <v>158000.0000</v>
      </c>
      <c r="AA83" s="13">
        <v>158000.0000</v>
      </c>
      <c r="AB83" s="13">
        <v>158000.0000</v>
      </c>
      <c r="AC83" s="13">
        <v>158000.0000</v>
      </c>
      <c r="AD83" s="13">
        <v>158000.0000</v>
      </c>
      <c r="AE83" s="13">
        <v>158000.0000</v>
      </c>
      <c r="AF83" s="13">
        <v>158000.0000</v>
      </c>
      <c r="AG83" s="13">
        <v>158000.0000</v>
      </c>
      <c r="AH83" s="13">
        <v>158000.0000</v>
      </c>
      <c r="AI83" s="13">
        <v>158000.0000</v>
      </c>
      <c r="AJ83" s="13">
        <v>158000.0000</v>
      </c>
      <c r="AK83" s="13">
        <v>158000.0000</v>
      </c>
      <c r="AL83" s="13">
        <v>158000.0000</v>
      </c>
    </row>
    <row r="84" ht="10.95" customHeight="true" customFormat="true" s="9">
      <c r="A84" s="12" t="s">
        <v>66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  <c r="AH84" s="13">
        <v>0</v>
      </c>
      <c r="AI84" s="13">
        <v>0</v>
      </c>
      <c r="AJ84" s="13">
        <v>0</v>
      </c>
      <c r="AK84" s="13">
        <v>0</v>
      </c>
      <c r="AL84" s="13">
        <v>0</v>
      </c>
    </row>
    <row r="85" ht="10.95" customHeight="true" customFormat="true" s="9">
      <c r="A85" s="12" t="s">
        <v>65</v>
      </c>
      <c r="B85" s="13">
        <v>0</v>
      </c>
      <c r="C85" s="13">
        <v>918.6000</v>
      </c>
      <c r="D85" s="13">
        <v>918.6000</v>
      </c>
      <c r="E85" s="13">
        <v>918.8000</v>
      </c>
      <c r="F85" s="13">
        <v>929.4000</v>
      </c>
      <c r="G85" s="13">
        <v>929.4000</v>
      </c>
      <c r="H85" s="13">
        <v>8179.2000</v>
      </c>
      <c r="I85" s="13">
        <v>929.4000</v>
      </c>
      <c r="J85" s="13">
        <v>929.2000</v>
      </c>
      <c r="K85" s="13">
        <v>929.4000</v>
      </c>
      <c r="L85" s="13">
        <v>929.4000</v>
      </c>
      <c r="M85" s="13">
        <v>929.2000</v>
      </c>
      <c r="N85" s="13">
        <v>929.4000</v>
      </c>
      <c r="O85" s="13">
        <v>929.2000</v>
      </c>
      <c r="P85" s="13">
        <v>929.4000</v>
      </c>
      <c r="Q85" s="13">
        <v>929.4000</v>
      </c>
      <c r="R85" s="13">
        <v>940.0000</v>
      </c>
      <c r="S85" s="13">
        <v>940.0000</v>
      </c>
      <c r="T85" s="13">
        <v>940.0000</v>
      </c>
      <c r="U85" s="13">
        <v>940.0000</v>
      </c>
      <c r="V85" s="13">
        <v>940.0000</v>
      </c>
      <c r="W85" s="13">
        <v>940.0000</v>
      </c>
      <c r="X85" s="13">
        <v>940.0000</v>
      </c>
      <c r="Y85" s="13">
        <v>940.0000</v>
      </c>
      <c r="Z85" s="13">
        <v>940.0000</v>
      </c>
      <c r="AA85" s="13">
        <v>940.0000</v>
      </c>
      <c r="AB85" s="13">
        <v>940.0000</v>
      </c>
      <c r="AC85" s="13">
        <v>940.0000</v>
      </c>
      <c r="AD85" s="13">
        <v>758.0000</v>
      </c>
      <c r="AE85" s="13">
        <v>758.0000</v>
      </c>
      <c r="AF85" s="13">
        <v>758.0000</v>
      </c>
      <c r="AG85" s="13">
        <v>758.0000</v>
      </c>
      <c r="AH85" s="13">
        <v>758.0000</v>
      </c>
      <c r="AI85" s="13">
        <v>758.0000</v>
      </c>
      <c r="AJ85" s="13">
        <v>0</v>
      </c>
      <c r="AK85" s="13">
        <v>758.0000</v>
      </c>
      <c r="AL85" s="13">
        <v>2274.0000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DEA7CA08ED8A408EA548809DAEC2DB" ma:contentTypeVersion="19" ma:contentTypeDescription="Create a new document." ma:contentTypeScope="" ma:versionID="b7e750af13e9e7e0e39ea96b632c4e4a">
  <xsd:schema xmlns:xsd="http://www.w3.org/2001/XMLSchema" xmlns:xs="http://www.w3.org/2001/XMLSchema" xmlns:p="http://schemas.microsoft.com/office/2006/metadata/properties" xmlns:ns2="70bf0b2e-1d06-4fc1-8a42-c9a1a3ec7c11" xmlns:ns3="1fe99334-4881-4c24-8ea8-67705048f3d4" targetNamespace="http://schemas.microsoft.com/office/2006/metadata/properties" ma:root="true" ma:fieldsID="d06d24738ccfe7a57da3c72cdfdcf279" ns2:_="" ns3:_="">
    <xsd:import namespace="70bf0b2e-1d06-4fc1-8a42-c9a1a3ec7c11"/>
    <xsd:import namespace="1fe99334-4881-4c24-8ea8-67705048f3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f0b2e-1d06-4fc1-8a42-c9a1a3ec7c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3950d21-a8f5-40fb-81e1-a419b31c14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e99334-4881-4c24-8ea8-67705048f3d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454b94f-9b3d-46eb-aa58-b94279a6309f}" ma:internalName="TaxCatchAll" ma:showField="CatchAllData" ma:web="1fe99334-4881-4c24-8ea8-67705048f3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0bf0b2e-1d06-4fc1-8a42-c9a1a3ec7c11">
      <Terms xmlns="http://schemas.microsoft.com/office/infopath/2007/PartnerControls"/>
    </lcf76f155ced4ddcb4097134ff3c332f>
    <TaxCatchAll xmlns="1fe99334-4881-4c24-8ea8-67705048f3d4" xsi:nil="true"/>
  </documentManagement>
</p:properties>
</file>

<file path=customXml/itemProps1.xml><?xml version="1.0" encoding="utf-8"?>
<ds:datastoreItem xmlns:ds="http://schemas.openxmlformats.org/officeDocument/2006/customXml" ds:itemID="{F8DA8A02-8FBA-43F4-BB46-3798EE1DDDFC}"/>
</file>

<file path=customXml/itemProps2.xml><?xml version="1.0" encoding="utf-8"?>
<ds:datastoreItem xmlns:ds="http://schemas.openxmlformats.org/officeDocument/2006/customXml" ds:itemID="{F05ADC93-C019-468C-8360-FA23A9B36EE6}"/>
</file>

<file path=customXml/itemProps3.xml><?xml version="1.0" encoding="utf-8"?>
<ds:datastoreItem xmlns:ds="http://schemas.openxmlformats.org/officeDocument/2006/customXml" ds:itemID="{29D23E99-3421-43F0-99FE-012D8E879F6C}"/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0x010100F0DEA7CA08ED8A408EA548809DAEC2DB</vt:lpwstr>
  </property>
</Properties>
</file>