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Project Definition" sheetId="1" state="visible" r:id="rId1"/>
    <sheet name="Dropdown lists" sheetId="2" state="visible" r:id="rId2"/>
  </sheets>
  <definedNames>
    <definedName name="Chargeable">Chargeable_Y_N_Table[Costs Chargeable]</definedName>
    <definedName name="Engineer">EngineerTable[Engineer]</definedName>
    <definedName name="ExpensesType">ExpTypeTable[ExpensesType]</definedName>
    <definedName name="FeeType">FeeTypeTable[FeeType]</definedName>
    <definedName name="General_Y_N">Y_N_Table[General Y/N]</definedName>
    <definedName name="PrincipalDesigner">PrincipleDesignerTable[PrincipalDesigner]</definedName>
    <definedName name="ProcurementRouteList">ProcurementRoute[Procurement Route]</definedName>
    <definedName name="ProjectType">ProjectTypeTable[ProjectType]</definedName>
    <definedName name="Stages">ProjectStagesTable[Stages]</definedName>
    <definedName name="SubconService">SubconServiceTable[SubconService]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£&quot;* #,##0_-;\-&quot;£&quot;* #,##0_-;_-&quot;£&quot;* &quot;-&quot;??_-;_-@_-"/>
    <numFmt numFmtId="165" formatCode="_-&quot;£&quot;* #,##0.00_-;\-&quot;£&quot;* #,##0.00_-;_-&quot;£&quot;* &quot;-&quot;??_-;_-@_-"/>
    <numFmt numFmtId="166" formatCode="_(&quot;£&quot;* #,##0.00_);_(&quot;£&quot;* \(#,##0.00\);_(&quot;£&quot;* &quot;-&quot;??_);_(@_)"/>
  </numFmts>
  <fonts count="16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onsolas"/>
      <family val="3"/>
      <color theme="1"/>
      <sz val="10"/>
    </font>
    <font>
      <name val="Consolas"/>
      <family val="3"/>
      <b val="1"/>
      <color theme="1"/>
      <sz val="10"/>
    </font>
    <font>
      <name val="Consolas"/>
      <family val="3"/>
      <color rgb="FFFF0000"/>
      <sz val="10"/>
    </font>
    <font>
      <name val="Consolas"/>
      <family val="3"/>
      <sz val="8"/>
    </font>
    <font>
      <name val="Consolas"/>
      <family val="3"/>
      <color theme="1"/>
      <sz val="8"/>
    </font>
    <font>
      <name val="Consolas"/>
      <family val="3"/>
      <color rgb="FFFF0000"/>
      <sz val="8"/>
    </font>
    <font>
      <name val="Consolas"/>
      <family val="3"/>
      <b val="1"/>
      <color theme="1"/>
      <sz val="8"/>
    </font>
    <font>
      <name val="Consolas"/>
      <family val="3"/>
      <b val="1"/>
      <i val="1"/>
      <color theme="2" tint="-0.249977111117893"/>
      <sz val="8"/>
      <u val="singleAccounting"/>
    </font>
    <font>
      <name val="Consolas"/>
      <family val="3"/>
      <color theme="2" tint="-0.249977111117893"/>
      <sz val="8"/>
    </font>
    <font>
      <name val="Consolas"/>
      <family val="3"/>
      <b val="1"/>
      <color theme="2" tint="-0.249977111117893"/>
      <sz val="8"/>
    </font>
    <font>
      <name val="Consolas"/>
      <family val="3"/>
      <b val="1"/>
      <color rgb="FFAEAAAA"/>
      <sz val="8"/>
    </font>
    <font>
      <name val="Calibri"/>
      <family val="2"/>
      <color theme="1"/>
      <sz val="8"/>
      <scheme val="minor"/>
    </font>
    <font>
      <name val="Consolas"/>
      <family val="3"/>
      <b val="1"/>
      <i val="1"/>
      <color rgb="FFAEAAAA"/>
      <sz val="8"/>
      <u val="single"/>
    </font>
    <font>
      <name val="Consolas"/>
      <family val="3"/>
      <color rgb="FFC00000"/>
      <sz val="8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6" applyAlignment="1" pivotButton="0" quotePrefix="0" xfId="0">
      <alignment horizontal="left" vertical="top" wrapText="1"/>
    </xf>
    <xf numFmtId="0" fontId="5" fillId="0" borderId="18" applyAlignment="1" pivotButton="0" quotePrefix="0" xfId="0">
      <alignment horizontal="left" vertical="top" wrapText="1"/>
    </xf>
    <xf numFmtId="0" fontId="5" fillId="0" borderId="19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49" fontId="6" fillId="0" borderId="8" applyAlignment="1" pivotButton="0" quotePrefix="0" xfId="0">
      <alignment horizontal="left" vertical="top" wrapText="1"/>
    </xf>
    <xf numFmtId="49" fontId="6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49" fontId="8" fillId="0" borderId="9" applyAlignment="1" pivotButton="0" quotePrefix="0" xfId="0">
      <alignment horizontal="left" vertical="top" wrapText="1"/>
    </xf>
    <xf numFmtId="49" fontId="6" fillId="0" borderId="5" applyAlignment="1" pivotButton="0" quotePrefix="0" xfId="0">
      <alignment horizontal="left" vertical="top" wrapText="1"/>
    </xf>
    <xf numFmtId="164" fontId="6" fillId="0" borderId="5" applyAlignment="1" pivotButton="0" quotePrefix="0" xfId="0">
      <alignment horizontal="left" vertical="top" wrapText="1"/>
    </xf>
    <xf numFmtId="165" fontId="9" fillId="2" borderId="5" applyAlignment="1" pivotButton="0" quotePrefix="0" xfId="0">
      <alignment horizontal="left" vertical="top" wrapText="1"/>
    </xf>
    <xf numFmtId="0" fontId="10" fillId="2" borderId="5" applyAlignment="1" pivotButton="0" quotePrefix="0" xfId="0">
      <alignment horizontal="left" vertical="top" wrapText="1"/>
    </xf>
    <xf numFmtId="17" fontId="10" fillId="2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11" fillId="0" borderId="13" applyAlignment="1" pivotButton="0" quotePrefix="0" xfId="0">
      <alignment horizontal="center" vertical="top" wrapText="1"/>
    </xf>
    <xf numFmtId="166" fontId="12" fillId="4" borderId="14" pivotButton="0" quotePrefix="0" xfId="0"/>
    <xf numFmtId="0" fontId="13" fillId="0" borderId="0" pivotButton="0" quotePrefix="0" xfId="0"/>
    <xf numFmtId="166" fontId="14" fillId="4" borderId="14" pivotButton="0" quotePrefix="0" xfId="0"/>
    <xf numFmtId="0" fontId="10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49" fontId="6" fillId="0" borderId="11" applyAlignment="1" pivotButton="0" quotePrefix="0" xfId="0">
      <alignment horizontal="center" vertical="top" wrapText="1"/>
    </xf>
    <xf numFmtId="49" fontId="15" fillId="0" borderId="11" applyAlignment="1" pivotButton="0" quotePrefix="0" xfId="0">
      <alignment horizontal="center" vertical="top" wrapText="1"/>
    </xf>
    <xf numFmtId="49" fontId="6" fillId="0" borderId="1" applyAlignment="1" pivotButton="0" quotePrefix="0" xfId="0">
      <alignment horizontal="center" vertical="top" wrapText="1"/>
    </xf>
    <xf numFmtId="49" fontId="15" fillId="0" borderId="1" applyAlignment="1" pivotButton="0" quotePrefix="0" xfId="0">
      <alignment horizontal="center" vertical="top" wrapText="1"/>
    </xf>
    <xf numFmtId="49" fontId="6" fillId="3" borderId="0" applyAlignment="1" pivotButton="0" quotePrefix="0" xfId="0">
      <alignment horizontal="center" vertical="top" wrapText="1"/>
    </xf>
    <xf numFmtId="0" fontId="10" fillId="2" borderId="7" applyAlignment="1" pivotButton="0" quotePrefix="0" xfId="0">
      <alignment horizontal="left" vertical="top" wrapText="1"/>
    </xf>
    <xf numFmtId="49" fontId="10" fillId="2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left" vertical="top" wrapText="1"/>
    </xf>
    <xf numFmtId="49" fontId="6" fillId="0" borderId="3" applyAlignment="1" pivotButton="0" quotePrefix="0" xfId="0">
      <alignment horizontal="left" vertical="top" wrapText="1"/>
    </xf>
    <xf numFmtId="165" fontId="6" fillId="0" borderId="6" applyAlignment="1" pivotButton="0" quotePrefix="0" xfId="0">
      <alignment horizontal="left" vertical="top" wrapText="1"/>
    </xf>
    <xf numFmtId="165" fontId="9" fillId="2" borderId="6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165" fontId="9" fillId="2" borderId="1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left" vertical="top" wrapText="1"/>
    </xf>
    <xf numFmtId="49" fontId="10" fillId="2" borderId="1" applyAlignment="1" pivotButton="0" quotePrefix="0" xfId="0">
      <alignment horizontal="left" vertical="top" wrapText="1"/>
    </xf>
    <xf numFmtId="49" fontId="6" fillId="0" borderId="1" applyAlignment="1" pivotButton="0" quotePrefix="0" xfId="0">
      <alignment horizontal="left" vertical="top" wrapText="1"/>
    </xf>
    <xf numFmtId="49" fontId="6" fillId="0" borderId="4" applyAlignment="1" pivotButton="0" quotePrefix="0" xfId="0">
      <alignment horizontal="left" vertical="top" wrapText="1"/>
    </xf>
    <xf numFmtId="0" fontId="10" fillId="2" borderId="12" applyAlignment="1" pivotButton="0" quotePrefix="0" xfId="0">
      <alignment horizontal="left" vertical="top" wrapText="1"/>
    </xf>
    <xf numFmtId="49" fontId="10" fillId="2" borderId="5" applyAlignment="1" pivotButton="0" quotePrefix="0" xfId="0">
      <alignment horizontal="left" vertical="top" wrapText="1"/>
    </xf>
    <xf numFmtId="49" fontId="6" fillId="0" borderId="10" applyAlignment="1" pivotButton="0" quotePrefix="0" xfId="0">
      <alignment horizontal="left" vertical="top" wrapText="1"/>
    </xf>
    <xf numFmtId="165" fontId="6" fillId="0" borderId="5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165" fontId="9" fillId="2" borderId="10" applyAlignment="1" pivotButton="0" quotePrefix="0" xfId="0">
      <alignment horizontal="left" vertical="top" wrapText="1"/>
    </xf>
    <xf numFmtId="49" fontId="6" fillId="0" borderId="22" applyAlignment="1" pivotButton="0" quotePrefix="0" xfId="0">
      <alignment horizontal="center" vertical="top" wrapText="1"/>
    </xf>
    <xf numFmtId="17" fontId="8" fillId="0" borderId="3" applyAlignment="1" pivotButton="0" quotePrefix="0" xfId="0">
      <alignment horizontal="left" vertical="top" wrapText="1"/>
    </xf>
    <xf numFmtId="17" fontId="8" fillId="0" borderId="4" applyAlignment="1" pivotButton="0" quotePrefix="0" xfId="0">
      <alignment horizontal="left" vertical="top" wrapText="1"/>
    </xf>
    <xf numFmtId="17" fontId="8" fillId="0" borderId="10" applyAlignment="1" pivotButton="0" quotePrefix="0" xfId="0">
      <alignment horizontal="left" vertical="top" wrapText="1"/>
    </xf>
    <xf numFmtId="165" fontId="6" fillId="0" borderId="3" applyAlignment="1" pivotButton="0" quotePrefix="0" xfId="0">
      <alignment horizontal="left" vertical="top" wrapText="1"/>
    </xf>
    <xf numFmtId="165" fontId="6" fillId="0" borderId="4" applyAlignment="1" pivotButton="0" quotePrefix="0" xfId="0">
      <alignment horizontal="left" vertical="top" wrapText="1"/>
    </xf>
    <xf numFmtId="165" fontId="6" fillId="0" borderId="10" applyAlignment="1" pivotButton="0" quotePrefix="0" xfId="0">
      <alignment horizontal="left" vertical="top" wrapText="1"/>
    </xf>
    <xf numFmtId="0" fontId="6" fillId="0" borderId="24" applyAlignment="1" pivotButton="0" quotePrefix="0" xfId="0">
      <alignment horizontal="left" vertical="top" wrapText="1"/>
    </xf>
    <xf numFmtId="0" fontId="6" fillId="0" borderId="17" applyAlignment="1" pivotButton="0" quotePrefix="0" xfId="0">
      <alignment horizontal="left" vertical="top" wrapText="1"/>
    </xf>
    <xf numFmtId="0" fontId="5" fillId="0" borderId="17" applyAlignment="1" pivotButton="0" quotePrefix="0" xfId="0">
      <alignment horizontal="left" vertical="top" wrapText="1"/>
    </xf>
    <xf numFmtId="0" fontId="6" fillId="0" borderId="25" applyAlignment="1" pivotButton="0" quotePrefix="0" xfId="0">
      <alignment horizontal="left" vertical="top" wrapText="1"/>
    </xf>
    <xf numFmtId="0" fontId="6" fillId="0" borderId="19" applyAlignment="1" pivotButton="0" quotePrefix="0" xfId="0">
      <alignment horizontal="left" vertical="top" wrapText="1"/>
    </xf>
    <xf numFmtId="0" fontId="7" fillId="0" borderId="18" applyAlignment="1" pivotButton="0" quotePrefix="0" xfId="0">
      <alignment horizontal="left" vertical="top" wrapText="1"/>
    </xf>
    <xf numFmtId="165" fontId="9" fillId="2" borderId="26" applyAlignment="1" pivotButton="0" quotePrefix="0" xfId="0">
      <alignment horizontal="left" vertical="top" wrapText="1"/>
    </xf>
    <xf numFmtId="0" fontId="10" fillId="2" borderId="27" applyAlignment="1" pivotButton="0" quotePrefix="0" xfId="0">
      <alignment horizontal="left" vertical="top" wrapText="1"/>
    </xf>
    <xf numFmtId="0" fontId="6" fillId="0" borderId="28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29" applyAlignment="1" pivotButton="0" quotePrefix="0" xfId="0">
      <alignment horizontal="left" vertical="top" wrapText="1"/>
    </xf>
    <xf numFmtId="0" fontId="5" fillId="0" borderId="28" applyAlignment="1" pivotButton="0" quotePrefix="0" xfId="0">
      <alignment horizontal="left" vertical="top" wrapText="1"/>
    </xf>
    <xf numFmtId="0" fontId="11" fillId="0" borderId="30" applyAlignment="1" pivotButton="0" quotePrefix="0" xfId="0">
      <alignment horizontal="center" vertical="top" wrapText="1"/>
    </xf>
    <xf numFmtId="166" fontId="12" fillId="4" borderId="31" pivotButton="0" quotePrefix="0" xfId="0"/>
    <xf numFmtId="0" fontId="5" fillId="0" borderId="32" applyAlignment="1" pivotButton="0" quotePrefix="0" xfId="0">
      <alignment horizontal="center" vertical="top" wrapText="1"/>
    </xf>
    <xf numFmtId="49" fontId="6" fillId="0" borderId="33" applyAlignment="1" pivotButton="0" quotePrefix="0" xfId="0">
      <alignment horizontal="center" vertical="top" wrapText="1"/>
    </xf>
    <xf numFmtId="49" fontId="6" fillId="0" borderId="19" applyAlignment="1" pivotButton="0" quotePrefix="0" xfId="0">
      <alignment horizontal="left" vertical="top" wrapText="1"/>
    </xf>
    <xf numFmtId="165" fontId="6" fillId="0" borderId="18" applyAlignment="1" pivotButton="0" quotePrefix="0" xfId="0">
      <alignment horizontal="left" vertical="top" wrapText="1"/>
    </xf>
    <xf numFmtId="49" fontId="6" fillId="0" borderId="21" applyAlignment="1" pivotButton="0" quotePrefix="0" xfId="0">
      <alignment horizontal="left" vertical="top" wrapText="1"/>
    </xf>
    <xf numFmtId="165" fontId="6" fillId="0" borderId="20" applyAlignment="1" pivotButton="0" quotePrefix="0" xfId="0">
      <alignment horizontal="left" vertical="top" wrapText="1"/>
    </xf>
    <xf numFmtId="49" fontId="6" fillId="0" borderId="26" applyAlignment="1" pivotButton="0" quotePrefix="0" xfId="0">
      <alignment horizontal="left" vertical="top" wrapText="1"/>
    </xf>
    <xf numFmtId="165" fontId="6" fillId="0" borderId="27" applyAlignment="1" pivotButton="0" quotePrefix="0" xfId="0">
      <alignment horizontal="left" vertical="top" wrapText="1"/>
    </xf>
    <xf numFmtId="0" fontId="7" fillId="0" borderId="19" applyAlignment="1" pivotButton="0" quotePrefix="0" xfId="0">
      <alignment horizontal="left" vertical="top" wrapText="1"/>
    </xf>
    <xf numFmtId="165" fontId="10" fillId="2" borderId="26" applyAlignment="1" pivotButton="0" quotePrefix="0" xfId="0">
      <alignment horizontal="left" vertical="top" wrapText="1"/>
    </xf>
    <xf numFmtId="0" fontId="6" fillId="0" borderId="27" applyAlignment="1" pivotButton="0" quotePrefix="0" xfId="0">
      <alignment horizontal="left" vertical="top" wrapText="1"/>
    </xf>
    <xf numFmtId="0" fontId="5" fillId="0" borderId="29" applyAlignment="1" pivotButton="0" quotePrefix="0" xfId="0">
      <alignment horizontal="left" vertical="top" wrapText="1"/>
    </xf>
    <xf numFmtId="0" fontId="13" fillId="0" borderId="28" pivotButton="0" quotePrefix="0" xfId="0"/>
    <xf numFmtId="0" fontId="13" fillId="0" borderId="0" pivotButton="0" quotePrefix="0" xfId="0"/>
    <xf numFmtId="49" fontId="6" fillId="0" borderId="32" applyAlignment="1" pivotButton="0" quotePrefix="0" xfId="0">
      <alignment horizontal="center" vertical="top" wrapText="1"/>
    </xf>
    <xf numFmtId="0" fontId="6" fillId="0" borderId="26" applyAlignment="1" pivotButton="0" quotePrefix="0" xfId="0">
      <alignment horizontal="left" vertical="top" wrapText="1"/>
    </xf>
    <xf numFmtId="165" fontId="6" fillId="0" borderId="16" applyAlignment="1" pivotButton="0" quotePrefix="0" xfId="0">
      <alignment horizontal="left" vertical="top" wrapText="1"/>
    </xf>
    <xf numFmtId="165" fontId="6" fillId="0" borderId="14" applyAlignment="1" pivotButton="0" quotePrefix="0" xfId="0">
      <alignment horizontal="left" vertical="top" wrapText="1"/>
    </xf>
    <xf numFmtId="165" fontId="6" fillId="0" borderId="15" applyAlignment="1" pivotButton="0" quotePrefix="0" xfId="0">
      <alignment horizontal="left" vertical="top" wrapText="1"/>
    </xf>
    <xf numFmtId="49" fontId="15" fillId="0" borderId="23" applyAlignment="1" pivotButton="0" quotePrefix="0" xfId="0">
      <alignment horizontal="center" vertical="top" wrapText="1"/>
    </xf>
    <xf numFmtId="165" fontId="9" fillId="2" borderId="8" applyAlignment="1" pivotButton="0" quotePrefix="0" xfId="0">
      <alignment horizontal="left" vertical="top" wrapText="1"/>
    </xf>
    <xf numFmtId="165" fontId="9" fillId="2" borderId="5" applyAlignment="1" pivotButton="0" quotePrefix="0" xfId="0">
      <alignment horizontal="left" vertical="top" wrapText="1"/>
    </xf>
    <xf numFmtId="165" fontId="9" fillId="2" borderId="10" applyAlignment="1" pivotButton="0" quotePrefix="0" xfId="0">
      <alignment horizontal="left" vertical="top" wrapText="1"/>
    </xf>
    <xf numFmtId="165" fontId="9" fillId="2" borderId="26" applyAlignment="1" pivotButton="0" quotePrefix="0" xfId="0">
      <alignment horizontal="left" vertical="top" wrapText="1"/>
    </xf>
    <xf numFmtId="165" fontId="10" fillId="2" borderId="26" applyAlignment="1" pivotButton="0" quotePrefix="0" xfId="0">
      <alignment horizontal="left" vertical="top" wrapText="1"/>
    </xf>
    <xf numFmtId="166" fontId="12" fillId="4" borderId="31" pivotButton="0" quotePrefix="0" xfId="0"/>
    <xf numFmtId="166" fontId="12" fillId="4" borderId="14" pivotButton="0" quotePrefix="0" xfId="0"/>
    <xf numFmtId="166" fontId="14" fillId="4" borderId="14" pivotButton="0" quotePrefix="0" xfId="0"/>
    <xf numFmtId="165" fontId="6" fillId="0" borderId="18" applyAlignment="1" pivotButton="0" quotePrefix="0" xfId="0">
      <alignment horizontal="left" vertical="top" wrapText="1"/>
    </xf>
    <xf numFmtId="165" fontId="6" fillId="0" borderId="16" applyAlignment="1" pivotButton="0" quotePrefix="0" xfId="0">
      <alignment horizontal="left" vertical="top" wrapText="1"/>
    </xf>
    <xf numFmtId="165" fontId="6" fillId="0" borderId="3" applyAlignment="1" pivotButton="0" quotePrefix="0" xfId="0">
      <alignment horizontal="left" vertical="top" wrapText="1"/>
    </xf>
    <xf numFmtId="165" fontId="9" fillId="2" borderId="8" applyAlignment="1" pivotButton="0" quotePrefix="0" xfId="0">
      <alignment horizontal="left" vertical="top" wrapText="1"/>
    </xf>
    <xf numFmtId="165" fontId="6" fillId="0" borderId="6" applyAlignment="1" pivotButton="0" quotePrefix="0" xfId="0">
      <alignment horizontal="left" vertical="top" wrapText="1"/>
    </xf>
    <xf numFmtId="165" fontId="9" fillId="2" borderId="6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165" fontId="9" fillId="2" borderId="1" applyAlignment="1" pivotButton="0" quotePrefix="0" xfId="0">
      <alignment horizontal="left" vertical="top" wrapText="1"/>
    </xf>
    <xf numFmtId="165" fontId="6" fillId="0" borderId="20" applyAlignment="1" pivotButton="0" quotePrefix="0" xfId="0">
      <alignment horizontal="left" vertical="top" wrapText="1"/>
    </xf>
    <xf numFmtId="165" fontId="6" fillId="0" borderId="14" applyAlignment="1" pivotButton="0" quotePrefix="0" xfId="0">
      <alignment horizontal="left" vertical="top" wrapText="1"/>
    </xf>
    <xf numFmtId="165" fontId="6" fillId="0" borderId="4" applyAlignment="1" pivotButton="0" quotePrefix="0" xfId="0">
      <alignment horizontal="left" vertical="top" wrapText="1"/>
    </xf>
    <xf numFmtId="165" fontId="6" fillId="0" borderId="27" applyAlignment="1" pivotButton="0" quotePrefix="0" xfId="0">
      <alignment horizontal="left" vertical="top" wrapText="1"/>
    </xf>
    <xf numFmtId="165" fontId="6" fillId="0" borderId="15" applyAlignment="1" pivotButton="0" quotePrefix="0" xfId="0">
      <alignment horizontal="left" vertical="top" wrapText="1"/>
    </xf>
    <xf numFmtId="165" fontId="6" fillId="0" borderId="10" applyAlignment="1" pivotButton="0" quotePrefix="0" xfId="0">
      <alignment horizontal="left" vertical="top" wrapText="1"/>
    </xf>
    <xf numFmtId="165" fontId="6" fillId="0" borderId="5" applyAlignment="1" pivotButton="0" quotePrefix="0" xfId="0">
      <alignment horizontal="left" vertical="top" wrapText="1"/>
    </xf>
  </cellXfs>
  <cellStyles count="1">
    <cellStyle name="Normal" xfId="0" builtinId="0"/>
  </cellStyles>
  <dxfs count="161"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/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/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22" formatCode="mmm\-yy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22" formatCode="mmm\-yy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rgb="FFFF00FF"/>
        <extend val="0"/>
        <sz val="8"/>
        <u val="singleAccounting"/>
        <vertAlign val="baseline"/>
      </font>
      <numFmt numFmtId="30" formatCode="@"/>
      <fill>
        <patternFill patternType="solid">
          <fgColor indexed="64"/>
          <bgColor theme="9" tint="0.7999816888943144"/>
        </patternFill>
      </fill>
      <alignment horizontal="left" vertical="top" wrapText="1"/>
    </dxf>
    <dxf>
      <font>
        <name val="Consolas"/>
        <family val="3"/>
        <strike val="0"/>
        <outline val="0"/>
        <shadow val="0"/>
        <condense val="0"/>
        <color rgb="FFFF00FF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4" formatCode="_-&quot;£&quot;* #,##0.00_-;\-&quot;£&quot;* #,##0.0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22" formatCode="mmm\-yy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30" formatCode="@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2" tint="-0.249977111117893"/>
        <extend val="0"/>
        <sz val="8"/>
        <vertAlign val="baseline"/>
      </font>
      <numFmt numFmtId="0" formatCode="General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fill>
        <patternFill patternType="solid">
          <fgColor indexed="64"/>
          <bgColor rgb="FFFFFF00"/>
        </patternFill>
      </fill>
      <alignment horizontal="left" vertical="top" wrapText="1"/>
    </dxf>
    <dxf>
      <font>
        <name val="Consolas"/>
        <family val="3"/>
        <strike val="0"/>
        <outline val="0"/>
        <shadow val="0"/>
        <condense val="0"/>
        <color rgb="FFFF0000"/>
        <extend val="0"/>
        <sz val="8"/>
        <vertAlign val="baseline"/>
      </font>
      <alignment horizontal="left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i val="1"/>
        <strike val="0"/>
        <outline val="0"/>
        <shadow val="0"/>
        <condense val="0"/>
        <color theme="2" tint="-0.249977111117893"/>
        <extend val="0"/>
        <sz val="8"/>
        <u val="singleAccounting"/>
        <vertAlign val="baseline"/>
      </font>
      <numFmt numFmtId="34" formatCode="_-&quot;£&quot;* #,##0.00_-;\-&quot;£&quot;* #,##0.00_-;_-&quot;£&quot;* &quot;-&quot;??_-;_-@_-"/>
      <fill>
        <patternFill patternType="solid">
          <fgColor indexed="64"/>
          <bgColor theme="9" tint="0.7999816888943144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164" formatCode="_-&quot;£&quot;* #,##0_-;\-&quot;£&quot;* #,##0_-;_-&quot;£&quot;* &quot;-&quot;??_-;_-@_-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30" formatCode="@"/>
      <fill>
        <patternFill>
          <fgColor indexed="64"/>
          <bgColor auto="1"/>
        </patternFill>
      </fill>
      <alignment horizontal="left" vertical="top" wrapText="1"/>
      <border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rgb="FFFF0000"/>
        </patternFill>
      </fill>
    </dxf>
    <dxf>
      <fill>
        <patternFill>
          <bgColor theme="7" tint="0.7999816888943144"/>
        </patternFill>
      </fill>
    </dxf>
    <dxf>
      <fill>
        <patternFill>
          <bgColor rgb="FFFFFF00"/>
        </patternFill>
      </fill>
    </dxf>
    <dxf>
      <font>
        <name val="Consolas"/>
        <family val="3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 outline="0"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onsolas"/>
        <family val="3"/>
        <strike val="0"/>
        <outline val="0"/>
        <shadow val="0"/>
        <sz val="10"/>
        <vertAlign val="baseline"/>
      </font>
    </dxf>
    <dxf>
      <border>
        <bottom style="thin">
          <color indexed="64"/>
        </bottom>
      </border>
    </dxf>
    <dxf>
      <font>
        <name val="Consolas"/>
        <family val="3"/>
        <b val="1"/>
        <strike val="0"/>
        <outline val="0"/>
        <shadow val="0"/>
        <sz val="10"/>
        <vertAlign val="baseline"/>
      </font>
      <alignment horizontal="center" vertical="top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rojectHeadlineTable" displayName="ProjectHeadlineTable" ref="B2:W3" headerRowCount="1" totalsRowShown="0" headerRowDxfId="95" dataDxfId="94" headerRowBorderDxfId="160" tableBorderDxfId="159" totalsRowBorderDxfId="158">
  <autoFilter ref="B2:W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</autoFilter>
  <tableColumns count="22">
    <tableColumn id="1" name="Job Code" dataDxfId="101"/>
    <tableColumn id="2" name="Job Name" dataDxfId="100"/>
    <tableColumn id="3" name="Construction Cost" dataDxfId="99"/>
    <tableColumn id="4" name="Procurement Route" dataDxfId="98"/>
    <tableColumn id="22" name="CumGrossFee" dataDxfId="97">
      <calculatedColumnFormula>BD6</calculatedColumnFormula>
    </tableColumn>
    <tableColumn id="24" name="CumSubconCost" dataDxfId="96">
      <calculatedColumnFormula>BO6</calculatedColumnFormula>
    </tableColumn>
    <tableColumn id="23" name="CumExpenses" dataDxfId="63">
      <calculatedColumnFormula>BW6</calculatedColumnFormula>
    </tableColumn>
    <tableColumn id="8" name="CumNetFee" dataDxfId="62">
      <calculatedColumnFormula>BY6</calculatedColumnFormula>
    </tableColumn>
    <tableColumn id="9" name="Project Life Programme length (inc gaps)" dataDxfId="61">
      <calculatedColumnFormula>IF(OR(M3="",N3=""),0,(YEAR(N3)-YEAR(M3))*12+(MONTH(N3)-MONTH(M3))+1)</calculatedColumnFormula>
    </tableColumn>
    <tableColumn id="25" name="Total Billing Months" dataDxfId="60">
      <calculatedColumnFormula>COUNTIF(ProjectDetailsTable[Live Deliverables], "Y")</calculatedColumnFormula>
    </tableColumn>
    <tableColumn id="10" name="Average Billing Monthly fee" dataDxfId="59">
      <calculatedColumnFormula>IFERROR(I3/ProjectHeadlineTable[[#This Row],[Total Billing Months]],0)</calculatedColumnFormula>
    </tableColumn>
    <tableColumn id="11" name="Start month billing" dataDxfId="58">
      <calculatedColumnFormula>IF(COUNTIF(ProjectDetailsTable[Live Deliverables],"Y")=0,"",_xlfn.MINIFS(ProjectDetailsTable[Month],ProjectDetailsTable[Live Deliverables],"Y"))</calculatedColumnFormula>
    </tableColumn>
    <tableColumn id="12" name="End month billing" dataDxfId="57">
      <calculatedColumnFormula>IF(COUNTIF(ProjectDetailsTable[Live Deliverables],"Y")=0,"",_xlfn.MAXIFS(ProjectDetailsTable[Month],ProjectDetailsTable[Live Deliverables],"Y"))</calculatedColumnFormula>
    </tableColumn>
    <tableColumn id="13" name="Client" dataDxfId="56"/>
    <tableColumn id="14" name="Architect" dataDxfId="55"/>
    <tableColumn id="15" name="Appointment notes" dataDxfId="54"/>
    <tableColumn id="16" name="Expenses notes" dataDxfId="53"/>
    <tableColumn id="17" name="more info 1" dataDxfId="52"/>
    <tableColumn id="18" name="more info 2" dataDxfId="51"/>
    <tableColumn id="19" name="more info 3" dataDxfId="50"/>
    <tableColumn id="20" name="more info 4" dataDxfId="49"/>
    <tableColumn id="21" name="more info 5" dataDxfId="4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ProjectDetailsTable" displayName="ProjectDetailsTable" ref="B8:BY152" headerRowCount="1" totalsRowShown="0" headerRowDxfId="65" dataDxfId="64" headerRowBorderDxfId="157" tableBorderDxfId="156">
  <autoFilter ref="B8:BY152"/>
  <tableColumns count="76">
    <tableColumn id="1" name="JobCode" dataDxfId="93">
      <calculatedColumnFormula>$B$3</calculatedColumnFormula>
    </tableColumn>
    <tableColumn id="2" name="JobName" dataDxfId="92">
      <calculatedColumnFormula>$C$3</calculatedColumnFormula>
    </tableColumn>
    <tableColumn id="3" name="Live Deliverables" dataDxfId="91">
      <calculatedColumnFormula>IF(SUM(COUNTIF(H9, "*"), COUNTIF(L9, "*"), COUNTIF(P9, "*"), COUNTIF(T9, "*"), COUNTIF(X9, "*"), COUNTIF(AB9, "*"), COUNTIF(AF9, "*"), COUNTIF(AJ9, "*"), COUNTIF(AN9, "*"), COUNTIF(AR9, "*"), COUNTIF(AV9, "*"), COUNTIF(AZ9, "*"))&gt;0, "Y", "N")</calculatedColumnFormula>
    </tableColumn>
    <tableColumn id="4" name="ProjectType" dataDxfId="90"/>
    <tableColumn id="5" name="PrincipalDesigner" dataDxfId="89"/>
    <tableColumn id="8" name="Month" dataDxfId="88"/>
    <tableColumn id="9" name="Services1" dataDxfId="47"/>
    <tableColumn id="10" name="Stages1" dataDxfId="46"/>
    <tableColumn id="11" name="FeeType1" dataDxfId="45"/>
    <tableColumn id="12" name="Fee1inMonth" dataDxfId="44"/>
    <tableColumn id="14" name="Services2" dataDxfId="43"/>
    <tableColumn id="15" name="Stages2" dataDxfId="42"/>
    <tableColumn id="16" name="FeeType2" dataDxfId="41"/>
    <tableColumn id="17" name="Fee2inMonth" dataDxfId="40"/>
    <tableColumn id="19" name="Services3" dataDxfId="39"/>
    <tableColumn id="20" name="Stages3" dataDxfId="38"/>
    <tableColumn id="21" name="FeeType3" dataDxfId="37"/>
    <tableColumn id="22" name="Fee3inMonth" dataDxfId="36"/>
    <tableColumn id="24" name="Services4" dataDxfId="35"/>
    <tableColumn id="25" name="Stages4" dataDxfId="34"/>
    <tableColumn id="26" name="FeeType4" dataDxfId="33"/>
    <tableColumn id="27" name="Fee4inMonth" dataDxfId="32"/>
    <tableColumn id="29" name="Services5" dataDxfId="31"/>
    <tableColumn id="30" name="Stages5" dataDxfId="30"/>
    <tableColumn id="31" name="FeeType5" dataDxfId="29"/>
    <tableColumn id="32" name="Fee5inMonth" dataDxfId="28"/>
    <tableColumn id="34" name="Services6" dataDxfId="27"/>
    <tableColumn id="35" name="Stages6" dataDxfId="26"/>
    <tableColumn id="36" name="FeeType6" dataDxfId="25"/>
    <tableColumn id="37" name="Fee6inMonth" dataDxfId="24"/>
    <tableColumn id="39" name="Services7" dataDxfId="23"/>
    <tableColumn id="40" name="Stages7" dataDxfId="22"/>
    <tableColumn id="41" name="FeeType7" dataDxfId="21"/>
    <tableColumn id="42" name="Fee7inMonth" dataDxfId="20"/>
    <tableColumn id="44" name="Services8" dataDxfId="19"/>
    <tableColumn id="45" name="Stages8" dataDxfId="18"/>
    <tableColumn id="46" name="FeeType8" dataDxfId="17"/>
    <tableColumn id="47" name="Fee8inMonth" dataDxfId="16"/>
    <tableColumn id="49" name="Services9" dataDxfId="15"/>
    <tableColumn id="50" name="Stages9" dataDxfId="14"/>
    <tableColumn id="51" name="FeeType9" dataDxfId="13"/>
    <tableColumn id="52" name="Fee9inMonth" dataDxfId="12"/>
    <tableColumn id="54" name="Services10" dataDxfId="11"/>
    <tableColumn id="55" name="Stages10" dataDxfId="10"/>
    <tableColumn id="56" name="FeeType10" dataDxfId="9"/>
    <tableColumn id="57" name="Fee10inMonth" dataDxfId="8"/>
    <tableColumn id="59" name="Services11" dataDxfId="7"/>
    <tableColumn id="60" name="Stages11" dataDxfId="6"/>
    <tableColumn id="61" name="FeeType11" dataDxfId="5"/>
    <tableColumn id="62" name="Fee11inMonth" dataDxfId="4"/>
    <tableColumn id="64" name="Services12" dataDxfId="3"/>
    <tableColumn id="65" name="Stages12" dataDxfId="2"/>
    <tableColumn id="66" name="FeeType12" dataDxfId="1"/>
    <tableColumn id="67" name="Fee12inMonth" dataDxfId="0"/>
    <tableColumn id="69" name="TotalGrossFeeinMonth" dataDxfId="87">
      <calculatedColumnFormula>SUM(K9,O9,S9,W9,AA9,AE9,AI9,AM9,AQ9,AU9,AY9,BC9)</calculatedColumnFormula>
    </tableColumn>
    <tableColumn id="71" name="SubconService1" dataDxfId="86"/>
    <tableColumn id="72" name="SubconCost1inMonth" dataDxfId="85"/>
    <tableColumn id="74" name="SubconService2" dataDxfId="84"/>
    <tableColumn id="75" name="SubconCost2inMonth" dataDxfId="83"/>
    <tableColumn id="77" name="SubconService3" dataDxfId="82"/>
    <tableColumn id="78" name="SubconCost3inMonth" dataDxfId="81"/>
    <tableColumn id="80" name="SubconService4" dataDxfId="80"/>
    <tableColumn id="81" name="SubconCost4inMonth" dataDxfId="79"/>
    <tableColumn id="83" name="SubconService5" dataDxfId="78"/>
    <tableColumn id="84" name="SubconCost5inMonth" dataDxfId="77"/>
    <tableColumn id="86" name="Total SubconCostinMonth" dataDxfId="76">
      <calculatedColumnFormula>SUM(BF9,BH9,BJ9,BL9,BN9)</calculatedColumnFormula>
    </tableColumn>
    <tableColumn id="88" name="Are Subcon Costs Chargeable" dataDxfId="75"/>
    <tableColumn id="89" name="ExpensesType1" dataDxfId="74"/>
    <tableColumn id="90" name="ExpensesType1inMonth" dataDxfId="73"/>
    <tableColumn id="92" name="ExpensesType2" dataDxfId="72"/>
    <tableColumn id="93" name="ExpensesType2inMonth" dataDxfId="71"/>
    <tableColumn id="95" name="ExpensesType3" dataDxfId="70"/>
    <tableColumn id="96" name="ExpensesType3inMonth" dataDxfId="69"/>
    <tableColumn id="98" name="TotalExpensesinMonth" dataDxfId="68">
      <calculatedColumnFormula>SUM(BR9,BT9,BV9)</calculatedColumnFormula>
    </tableColumn>
    <tableColumn id="100" name="Are Expenses Chargeable" dataDxfId="67"/>
    <tableColumn id="101" name="TotalNetFeeinMonth" dataDxfId="66">
      <calculatedColumnFormula>BD9 - IF(BP9="Y", 0, BO9) - IF(BX9="Y", 0, BW9)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ProjectTypeTable" displayName="ProjectTypeTable" ref="B2:B7" headerRowCount="1" totalsRowShown="0" headerRowDxfId="155" dataDxfId="153" headerRowBorderDxfId="154" tableBorderDxfId="152" totalsRowBorderDxfId="151">
  <autoFilter ref="B2:B7"/>
  <tableColumns count="1">
    <tableColumn id="1" name="ProjectType" dataDxfId="15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PrincipleDesignerTable" displayName="PrincipleDesignerTable" ref="D2:D6" headerRowCount="1" totalsRowShown="0" headerRowDxfId="149" dataDxfId="148" tableBorderDxfId="147">
  <autoFilter ref="D2:D6"/>
  <tableColumns count="1">
    <tableColumn id="1" name="PrincipalDesigner" dataDxfId="14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EngineerTable" displayName="EngineerTable" ref="F2:F8" headerRowCount="1" totalsRowShown="0" headerRowDxfId="145" dataDxfId="143" headerRowBorderDxfId="144" tableBorderDxfId="142" totalsRowBorderDxfId="141">
  <autoFilter ref="F2:F8"/>
  <tableColumns count="1">
    <tableColumn id="1" name="Engineer" dataDxfId="14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ProjectStagesTable" displayName="ProjectStagesTable" ref="H2:H10" headerRowCount="1" totalsRowShown="0" headerRowDxfId="139" dataDxfId="138" tableBorderDxfId="137">
  <autoFilter ref="H2:H10"/>
  <tableColumns count="1">
    <tableColumn id="1" name="Stages" dataDxfId="1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FeeTypeTable" displayName="FeeTypeTable" ref="J2:J7" headerRowCount="1" totalsRowShown="0" headerRowDxfId="135" dataDxfId="134" tableBorderDxfId="133">
  <autoFilter ref="J2:J7"/>
  <tableColumns count="1">
    <tableColumn id="1" name="FeeType" dataDxfId="13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SubconServiceTable" displayName="SubconServiceTable" ref="L2:L6" headerRowCount="1" totalsRowShown="0" headerRowDxfId="131" dataDxfId="130" tableBorderDxfId="129">
  <autoFilter ref="L2:L6"/>
  <tableColumns count="1">
    <tableColumn id="1" name="SubconService" dataDxfId="12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Chargeable_Y_N_Table" displayName="Chargeable_Y_N_Table" ref="N2:N5" headerRowCount="1" totalsRowShown="0" headerRowDxfId="127" dataDxfId="126" tableBorderDxfId="125">
  <autoFilter ref="N2:N5"/>
  <tableColumns count="1">
    <tableColumn id="1" name="Costs Chargeable" dataDxfId="12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ExpTypeTable" displayName="ExpTypeTable" ref="P2:P6" headerRowCount="1" totalsRowShown="0" headerRowDxfId="123" dataDxfId="122" tableBorderDxfId="121">
  <autoFilter ref="P2:P6"/>
  <tableColumns count="1">
    <tableColumn id="1" name="ExpensesType" dataDxfId="12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Y_N_Table" displayName="Y_N_Table" ref="R2:R5" headerRowCount="1" totalsRowShown="0" headerRowDxfId="119" dataDxfId="117" headerRowBorderDxfId="118" tableBorderDxfId="116" totalsRowBorderDxfId="115">
  <autoFilter ref="R2:R5"/>
  <tableColumns count="1">
    <tableColumn id="1" name="General Y/N" dataDxfId="11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ProcurementRoute" displayName="ProcurementRoute" ref="T2:T7" headerRowCount="1" totalsRowShown="0" headerRowDxfId="113" dataDxfId="112">
  <autoFilter ref="T2:T7"/>
  <tableColumns count="1">
    <tableColumn id="1" name="Procurement Route" dataDxfId="1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Relationship Type="http://schemas.openxmlformats.org/officeDocument/2006/relationships/table" Target="/xl/tables/table7.xml" Id="rId5" /><Relationship Type="http://schemas.openxmlformats.org/officeDocument/2006/relationships/table" Target="/xl/tables/table8.xml" Id="rId6" /><Relationship Type="http://schemas.openxmlformats.org/officeDocument/2006/relationships/table" Target="/xl/tables/table9.xml" Id="rId7" /><Relationship Type="http://schemas.openxmlformats.org/officeDocument/2006/relationships/table" Target="/xl/tables/table10.xml" Id="rId8" /><Relationship Type="http://schemas.openxmlformats.org/officeDocument/2006/relationships/table" Target="/xl/tables/table11.xml" Id="rId9" /><Relationship Type="http://schemas.openxmlformats.org/officeDocument/2006/relationships/table" Target="/xl/tables/table12.xml" Id="rId10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B152"/>
  <sheetViews>
    <sheetView tabSelected="1" zoomScaleNormal="100" workbookViewId="0">
      <selection activeCell="N26" sqref="N26"/>
    </sheetView>
  </sheetViews>
  <sheetFormatPr baseColWidth="8" defaultColWidth="8.7109375" defaultRowHeight="11.25"/>
  <cols>
    <col width="2.7109375" customWidth="1" style="73" min="1" max="1"/>
    <col width="11.7109375" bestFit="1" customWidth="1" style="73" min="2" max="2"/>
    <col width="12.140625" bestFit="1" customWidth="1" style="73" min="3" max="3"/>
    <col width="13.140625" bestFit="1" customWidth="1" style="73" min="4" max="4"/>
    <col width="14.42578125" bestFit="1" customWidth="1" style="73" min="5" max="5"/>
    <col width="15.85546875" bestFit="1" customWidth="1" style="73" min="6" max="6"/>
    <col width="12.5703125" customWidth="1" style="74" min="7" max="7"/>
    <col width="12.5703125" customWidth="1" style="72" min="8" max="8"/>
    <col width="15.85546875" bestFit="1" customWidth="1" style="73" min="9" max="9"/>
    <col width="21.7109375" bestFit="1" customWidth="1" style="73" min="10" max="10"/>
    <col width="10.42578125" bestFit="1" customWidth="1" style="75" min="11" max="11"/>
    <col width="14.140625" bestFit="1" customWidth="1" style="72" min="12" max="12"/>
    <col width="13.5703125" bestFit="1" customWidth="1" style="73" min="13" max="13"/>
    <col width="21.7109375" bestFit="1" customWidth="1" style="73" min="14" max="14"/>
    <col width="11.85546875" bestFit="1" customWidth="1" style="75" min="15" max="15"/>
    <col width="13.140625" bestFit="1" customWidth="1" style="72" min="16" max="16"/>
    <col width="13.5703125" bestFit="1" customWidth="1" style="73" min="17" max="17"/>
    <col width="21.7109375" customWidth="1" style="73" min="18" max="18"/>
    <col width="12.7109375" bestFit="1" customWidth="1" style="75" min="19" max="19"/>
    <col width="12.5703125" bestFit="1" customWidth="1" style="72" min="20" max="20"/>
    <col width="14" bestFit="1" customWidth="1" style="73" min="21" max="21"/>
    <col width="12.28515625" bestFit="1" customWidth="1" style="73" min="22" max="23"/>
    <col width="10.28515625" bestFit="1" customWidth="1" style="72" min="24" max="24"/>
    <col width="13.140625" bestFit="1" customWidth="1" style="73" min="25" max="25"/>
    <col width="10.28515625" bestFit="1" customWidth="1" style="73" min="26" max="26"/>
    <col width="10.28515625" bestFit="1" customWidth="1" style="75" min="27" max="27"/>
    <col width="10.28515625" bestFit="1" customWidth="1" style="72" min="28" max="28"/>
    <col width="10.42578125" bestFit="1" customWidth="1" style="73" min="29" max="29"/>
    <col width="15.28515625" bestFit="1" customWidth="1" style="73" min="30" max="30"/>
    <col width="10.42578125" bestFit="1" customWidth="1" style="75" min="31" max="31"/>
    <col width="10.28515625" bestFit="1" customWidth="1" style="72" min="32" max="32"/>
    <col width="13.5703125" bestFit="1" customWidth="1" style="73" min="33" max="33"/>
    <col width="12.28515625" bestFit="1" customWidth="1" style="73" min="34" max="34"/>
    <col width="10.42578125" bestFit="1" customWidth="1" style="75" min="35" max="35"/>
    <col width="10.28515625" bestFit="1" customWidth="1" style="72" min="36" max="36"/>
    <col width="13.5703125" bestFit="1" customWidth="1" style="73" min="37" max="37"/>
    <col width="12.28515625" bestFit="1" customWidth="1" style="73" min="38" max="38"/>
    <col width="10.42578125" bestFit="1" customWidth="1" style="75" min="39" max="39"/>
    <col width="10.28515625" bestFit="1" customWidth="1" style="72" min="40" max="40"/>
    <col width="14" bestFit="1" customWidth="1" style="73" min="41" max="41"/>
    <col width="12.28515625" bestFit="1" customWidth="1" style="73" min="42" max="42"/>
    <col width="10.42578125" bestFit="1" customWidth="1" style="73" min="43" max="43"/>
    <col width="10.28515625" bestFit="1" customWidth="1" style="72" min="44" max="44"/>
    <col width="13.140625" bestFit="1" customWidth="1" style="73" min="45" max="45"/>
    <col width="15.28515625" bestFit="1" customWidth="1" style="73" min="46" max="46"/>
    <col width="10.42578125" bestFit="1" customWidth="1" style="75" min="47" max="47"/>
    <col width="10.28515625" bestFit="1" customWidth="1" style="72" min="48" max="48"/>
    <col width="13.5703125" bestFit="1" customWidth="1" style="73" min="49" max="49"/>
    <col width="12.28515625" bestFit="1" customWidth="1" style="73" min="50" max="50"/>
    <col width="10.42578125" bestFit="1" customWidth="1" style="75" min="51" max="51"/>
    <col width="10.28515625" bestFit="1" customWidth="1" style="72" min="52" max="52"/>
    <col width="13.5703125" bestFit="1" customWidth="1" style="73" min="53" max="53"/>
    <col width="12.28515625" bestFit="1" customWidth="1" style="73" min="54" max="54"/>
    <col width="10.42578125" bestFit="1" customWidth="1" style="75" min="55" max="55"/>
    <col width="10.28515625" bestFit="1" customWidth="1" style="73" min="56" max="56"/>
    <col width="14" bestFit="1" customWidth="1" style="73" min="57" max="57"/>
    <col width="15.85546875" bestFit="1" customWidth="1" style="73" min="58" max="58"/>
    <col width="11.5703125" bestFit="1" customWidth="1" style="73" min="59" max="59"/>
    <col width="13.140625" bestFit="1" customWidth="1" style="73" min="60" max="60"/>
    <col width="10.7109375" bestFit="1" customWidth="1" style="73" min="61" max="61"/>
    <col width="13.140625" bestFit="1" customWidth="1" style="73" min="62" max="62"/>
    <col width="10.28515625" bestFit="1" customWidth="1" style="73" min="63" max="63"/>
    <col width="13.140625" bestFit="1" customWidth="1" style="73" min="64" max="64"/>
    <col width="10.28515625" bestFit="1" customWidth="1" style="73" min="65" max="65"/>
    <col width="13.140625" bestFit="1" customWidth="1" style="73" min="66" max="66"/>
    <col width="10.28515625" bestFit="1" customWidth="1" style="73" min="67" max="67"/>
    <col width="13.140625" bestFit="1" customWidth="1" style="73" min="68" max="68"/>
    <col width="15.85546875" bestFit="1" customWidth="1" style="73" min="69" max="69"/>
    <col width="13" bestFit="1" customWidth="1" style="73" min="70" max="70"/>
    <col width="11.140625" bestFit="1" customWidth="1" style="73" min="71" max="71"/>
    <col width="13.140625" bestFit="1" customWidth="1" style="73" min="72" max="72"/>
    <col width="10.28515625" bestFit="1" customWidth="1" style="73" min="73" max="73"/>
    <col width="13.140625" bestFit="1" customWidth="1" style="73" min="74" max="74"/>
    <col width="10.28515625" bestFit="1" customWidth="1" style="73" min="75" max="75"/>
    <col width="13.140625" bestFit="1" customWidth="1" style="73" min="76" max="78"/>
    <col width="15.85546875" bestFit="1" customWidth="1" style="73" min="79" max="79"/>
    <col width="9" bestFit="1" customWidth="1" style="73" min="80" max="81"/>
    <col width="9.140625" bestFit="1" customWidth="1" style="73" min="82" max="83"/>
    <col width="11.42578125" bestFit="1" customWidth="1" style="73" min="84" max="84"/>
    <col width="10.7109375" bestFit="1" customWidth="1" style="73" min="85" max="85"/>
    <col width="11.7109375" bestFit="1" customWidth="1" style="73" min="86" max="86"/>
    <col width="9.85546875" bestFit="1" customWidth="1" style="73" min="87" max="87"/>
    <col width="9" bestFit="1" customWidth="1" style="73" min="88" max="88"/>
    <col width="9" bestFit="1" customWidth="1" style="74" min="89" max="89"/>
    <col width="9" customWidth="1" style="74" min="90" max="91"/>
    <col width="9" bestFit="1" customWidth="1" style="74" min="92" max="92"/>
    <col width="9.140625" bestFit="1" customWidth="1" style="74" min="93" max="94"/>
    <col width="9" bestFit="1" customWidth="1" style="74" min="95" max="95"/>
    <col width="10.7109375" bestFit="1" customWidth="1" style="74" min="96" max="96"/>
    <col width="11.7109375" bestFit="1" customWidth="1" style="74" min="97" max="97"/>
    <col width="35.7109375" customWidth="1" style="73" min="98" max="98"/>
    <col width="15.5703125" customWidth="1" style="73" min="99" max="104"/>
    <col width="8.7109375" customWidth="1" style="73" min="105" max="16384"/>
  </cols>
  <sheetData>
    <row r="1" ht="11.25" customHeight="1">
      <c r="H1" s="64" t="n"/>
      <c r="I1" s="65" t="n"/>
      <c r="J1" s="66" t="n"/>
      <c r="K1" s="67" t="n"/>
      <c r="L1" s="64" t="n"/>
      <c r="M1" s="65" t="n"/>
      <c r="N1" s="65" t="n"/>
      <c r="O1" s="67" t="n"/>
      <c r="P1" s="64" t="n"/>
      <c r="Q1" s="65" t="n"/>
      <c r="R1" s="65" t="n"/>
      <c r="S1" s="67" t="n"/>
      <c r="T1" s="64" t="n"/>
      <c r="U1" s="65" t="n"/>
      <c r="V1" s="65" t="n"/>
      <c r="W1" s="65" t="n"/>
      <c r="X1" s="64" t="n"/>
      <c r="Y1" s="65" t="n"/>
      <c r="Z1" s="65" t="n"/>
      <c r="AA1" s="67" t="n"/>
      <c r="AB1" s="64" t="n"/>
      <c r="AC1" s="65" t="n"/>
      <c r="AD1" s="65" t="n"/>
      <c r="AE1" s="67" t="n"/>
      <c r="AF1" s="64" t="n"/>
      <c r="AG1" s="65" t="n"/>
      <c r="AH1" s="65" t="n"/>
      <c r="AI1" s="67" t="n"/>
      <c r="AJ1" s="64" t="n"/>
      <c r="AK1" s="65" t="n"/>
      <c r="AL1" s="65" t="n"/>
      <c r="AM1" s="67" t="n"/>
      <c r="AN1" s="64" t="n"/>
      <c r="AO1" s="65" t="n"/>
      <c r="AP1" s="65" t="n"/>
      <c r="AQ1" s="65" t="n"/>
      <c r="AR1" s="64" t="n"/>
      <c r="AS1" s="65" t="n"/>
      <c r="AT1" s="65" t="n"/>
      <c r="AU1" s="67" t="n"/>
      <c r="AV1" s="64" t="n"/>
      <c r="AW1" s="65" t="n"/>
      <c r="AX1" s="65" t="n"/>
      <c r="AY1" s="67" t="n"/>
      <c r="AZ1" s="64" t="n"/>
      <c r="BA1" s="65" t="n"/>
      <c r="BB1" s="65" t="n"/>
      <c r="BC1" s="67" t="n"/>
      <c r="CE1" s="9" t="n"/>
    </row>
    <row r="2" ht="43.5" customHeight="1">
      <c r="B2" s="10" t="inlineStr">
        <is>
          <t>Job Code</t>
        </is>
      </c>
      <c r="C2" s="11" t="inlineStr">
        <is>
          <t>Job Name</t>
        </is>
      </c>
      <c r="D2" s="11" t="inlineStr">
        <is>
          <t>Construction Cost</t>
        </is>
      </c>
      <c r="E2" s="11" t="inlineStr">
        <is>
          <t>Procurement Route</t>
        </is>
      </c>
      <c r="F2" s="12" t="inlineStr">
        <is>
          <t>CumGrossFee</t>
        </is>
      </c>
      <c r="G2" s="55" t="inlineStr">
        <is>
          <t>CumSubconCost</t>
        </is>
      </c>
      <c r="H2" s="68" t="inlineStr">
        <is>
          <t>CumExpenses</t>
        </is>
      </c>
      <c r="I2" s="12" t="inlineStr">
        <is>
          <t>CumNetFee</t>
        </is>
      </c>
      <c r="J2" s="12" t="inlineStr">
        <is>
          <t>Project Life Programme length (inc gaps)</t>
        </is>
      </c>
      <c r="K2" s="69" t="inlineStr">
        <is>
          <t>Total Billing Months</t>
        </is>
      </c>
      <c r="L2" s="87" t="inlineStr">
        <is>
          <t>Average Billing Monthly fee</t>
        </is>
      </c>
      <c r="M2" s="13" t="inlineStr">
        <is>
          <t>Start month billing</t>
        </is>
      </c>
      <c r="N2" s="13" t="inlineStr">
        <is>
          <t>End month billing</t>
        </is>
      </c>
      <c r="O2" s="5" t="inlineStr">
        <is>
          <t>Client</t>
        </is>
      </c>
      <c r="P2" s="6" t="inlineStr">
        <is>
          <t>Architect</t>
        </is>
      </c>
      <c r="Q2" s="4" t="inlineStr">
        <is>
          <t>Appointment notes</t>
        </is>
      </c>
      <c r="R2" s="4" t="inlineStr">
        <is>
          <t>Expenses notes</t>
        </is>
      </c>
      <c r="S2" s="5" t="inlineStr">
        <is>
          <t>more info 1</t>
        </is>
      </c>
      <c r="T2" s="6" t="inlineStr">
        <is>
          <t>more info 2</t>
        </is>
      </c>
      <c r="U2" s="4" t="inlineStr">
        <is>
          <t>more info 3</t>
        </is>
      </c>
      <c r="V2" s="4" t="inlineStr">
        <is>
          <t>more info 4</t>
        </is>
      </c>
      <c r="W2" s="21" t="inlineStr">
        <is>
          <t>more info 5</t>
        </is>
      </c>
      <c r="CE2" s="9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</row>
    <row r="3" ht="13.5" customHeight="1">
      <c r="B3" s="14" t="inlineStr">
        <is>
          <t>001_Resource</t>
        </is>
      </c>
      <c r="C3" s="15" t="inlineStr">
        <is>
          <t>JGC Resource Blank</t>
        </is>
      </c>
      <c r="D3" s="16" t="n">
        <v>0</v>
      </c>
      <c r="E3" s="15" t="n">
        <v>0</v>
      </c>
      <c r="F3" s="100">
        <f>BD6</f>
        <v/>
      </c>
      <c r="G3" s="101">
        <f>BO6</f>
        <v/>
      </c>
      <c r="H3" s="102">
        <f>BW6</f>
        <v/>
      </c>
      <c r="I3" s="100">
        <f>BY6</f>
        <v/>
      </c>
      <c r="J3" s="18">
        <f>IF(OR(M3="",N3=""),0,(YEAR(N3)-YEAR(M3))*12+(MONTH(N3)-MONTH(M3))+1)</f>
        <v/>
      </c>
      <c r="K3" s="71">
        <f>COUNTIF(ProjectDetailsTable[Live Deliverables], "Y")</f>
        <v/>
      </c>
      <c r="L3" s="103">
        <f>IFERROR(I3/ProjectHeadlineTable[[#This Row],[Total Billing Months]],0)</f>
        <v/>
      </c>
      <c r="M3" s="19">
        <f>IF(COUNTIF(ProjectDetailsTable[Live Deliverables],"Y")=0,"",_xlfn.MINIFS(ProjectDetailsTable[Month],ProjectDetailsTable[Live Deliverables],"Y"))</f>
        <v/>
      </c>
      <c r="N3" s="19">
        <f>IF(COUNTIF(ProjectDetailsTable[Live Deliverables],"Y")=0,"",_xlfn.MAXIFS(ProjectDetailsTable[Month],ProjectDetailsTable[Live Deliverables],"Y"))</f>
        <v/>
      </c>
      <c r="O3" s="89" t="inlineStr">
        <is>
          <t>Joel Gustafsson Consulting Limited</t>
        </is>
      </c>
      <c r="P3" s="94" t="n"/>
      <c r="Q3" s="20" t="n">
        <v>0</v>
      </c>
      <c r="R3" s="4" t="n">
        <v>0</v>
      </c>
      <c r="S3" s="5" t="n"/>
      <c r="T3" s="6" t="n"/>
      <c r="U3" s="4" t="n"/>
      <c r="V3" s="4" t="n"/>
      <c r="W3" s="21" t="n"/>
      <c r="CE3" s="9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</row>
    <row r="4">
      <c r="J4" s="74" t="n"/>
      <c r="CE4" s="9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</row>
    <row r="5" ht="67.5" customHeight="1">
      <c r="E5" s="22" t="n"/>
      <c r="F5" s="74" t="n"/>
      <c r="H5" s="76" t="n"/>
      <c r="I5" s="74" t="n"/>
      <c r="J5" s="74" t="inlineStr">
        <is>
          <t>description of services.PO0123456. jgcfp.ddmmyy</t>
        </is>
      </c>
      <c r="M5" s="74" t="n"/>
      <c r="N5" s="74" t="inlineStr">
        <is>
          <t>description of services.PO0123456. jgcfp.ddmmyy</t>
        </is>
      </c>
      <c r="O5" s="90" t="n"/>
      <c r="R5" s="74" t="inlineStr">
        <is>
          <t>description of services.PO0123456. jgcfp.ddmmyy</t>
        </is>
      </c>
      <c r="T5" s="76" t="n"/>
      <c r="V5" s="74" t="inlineStr">
        <is>
          <t>description of services.PO0123456. jgcfp.ddmmyy</t>
        </is>
      </c>
      <c r="Y5" s="74" t="n"/>
      <c r="Z5" s="74" t="inlineStr">
        <is>
          <t>description of services.PO0123456. jgcfp.ddmmyy</t>
        </is>
      </c>
      <c r="AD5" s="74" t="inlineStr">
        <is>
          <t>description of services.PO0123456. jgcfp.ddmmyy</t>
        </is>
      </c>
      <c r="AH5" s="74" t="inlineStr">
        <is>
          <t>description of services.PO0123456. jgcfp.ddmmyy</t>
        </is>
      </c>
      <c r="AL5" s="74" t="inlineStr">
        <is>
          <t>description of services.PO0123456. jgcfp.ddmmyy</t>
        </is>
      </c>
      <c r="AM5" s="90" t="n"/>
      <c r="AP5" s="74" t="inlineStr">
        <is>
          <t>description of services.PO0123456. jgcfp.ddmmyy</t>
        </is>
      </c>
      <c r="AR5" s="76" t="n"/>
      <c r="AT5" s="74" t="inlineStr">
        <is>
          <t>description of services.PO0123456. jgcfp.ddmmyy</t>
        </is>
      </c>
      <c r="AW5" s="74" t="n"/>
      <c r="AX5" s="74" t="inlineStr">
        <is>
          <t>description of services.PO0123456. jgcfp.ddmmyy</t>
        </is>
      </c>
      <c r="BB5" s="74" t="inlineStr">
        <is>
          <t>description of services.PO0123456. jgcfp.ddmmyy</t>
        </is>
      </c>
      <c r="BG5" s="74" t="n"/>
      <c r="BL5" s="74" t="n"/>
      <c r="CE5" s="9" t="n"/>
    </row>
    <row r="6" ht="12" customFormat="1" customHeight="1" s="24" thickBot="1">
      <c r="A6" s="23" t="n"/>
      <c r="H6" s="77" t="n"/>
      <c r="K6" s="104">
        <f>SUM(ProjectDetailsTable[Fee1inMonth])</f>
        <v/>
      </c>
      <c r="L6" s="91" t="n"/>
      <c r="M6" s="92" t="n"/>
      <c r="N6" s="92" t="n"/>
      <c r="O6" s="104">
        <f>SUM(ProjectDetailsTable[Fee2inMonth])</f>
        <v/>
      </c>
      <c r="P6" s="91" t="n"/>
      <c r="Q6" s="92" t="n"/>
      <c r="R6" s="92" t="n"/>
      <c r="S6" s="104">
        <f>SUM(ProjectDetailsTable[Fee3inMonth])</f>
        <v/>
      </c>
      <c r="T6" s="91" t="n"/>
      <c r="U6" s="92" t="n"/>
      <c r="V6" s="92" t="n"/>
      <c r="W6" s="105">
        <f>SUM(ProjectDetailsTable[Fee4inMonth])</f>
        <v/>
      </c>
      <c r="X6" s="91" t="n"/>
      <c r="Y6" s="92" t="n"/>
      <c r="Z6" s="92" t="n"/>
      <c r="AA6" s="104">
        <f>SUM(ProjectDetailsTable[Fee5inMonth])</f>
        <v/>
      </c>
      <c r="AB6" s="91" t="n"/>
      <c r="AC6" s="92" t="n"/>
      <c r="AD6" s="92" t="n"/>
      <c r="AE6" s="104">
        <f>SUM(ProjectDetailsTable[Fee6inMonth])</f>
        <v/>
      </c>
      <c r="AF6" s="91" t="n"/>
      <c r="AG6" s="92" t="n"/>
      <c r="AH6" s="92" t="n"/>
      <c r="AI6" s="104">
        <f>SUM(ProjectDetailsTable[Fee7inMonth])</f>
        <v/>
      </c>
      <c r="AJ6" s="91" t="n"/>
      <c r="AK6" s="92" t="n"/>
      <c r="AL6" s="92" t="n"/>
      <c r="AM6" s="104">
        <f>SUM(ProjectDetailsTable[Fee8inMonth])</f>
        <v/>
      </c>
      <c r="AN6" s="91" t="n"/>
      <c r="AO6" s="92" t="n"/>
      <c r="AP6" s="92" t="n"/>
      <c r="AQ6" s="105">
        <f>SUM(ProjectDetailsTable[Fee9inMonth])</f>
        <v/>
      </c>
      <c r="AR6" s="91" t="n"/>
      <c r="AS6" s="92" t="n"/>
      <c r="AT6" s="92" t="n"/>
      <c r="AU6" s="104">
        <f>SUM(ProjectDetailsTable[Fee10inMonth])</f>
        <v/>
      </c>
      <c r="AV6" s="91" t="n"/>
      <c r="AW6" s="92" t="n"/>
      <c r="AX6" s="92" t="n"/>
      <c r="AY6" s="104">
        <f>SUM(ProjectDetailsTable[Fee11inMonth])</f>
        <v/>
      </c>
      <c r="AZ6" s="91" t="n"/>
      <c r="BA6" s="92" t="n"/>
      <c r="BB6" s="92" t="n"/>
      <c r="BC6" s="104">
        <f>SUM(ProjectDetailsTable[Fee12inMonth])</f>
        <v/>
      </c>
      <c r="BD6" s="106">
        <f>SUM(ProjectDetailsTable[TotalGrossFeeinMonth])</f>
        <v/>
      </c>
      <c r="BE6" s="92" t="n"/>
      <c r="BF6" s="105">
        <f>SUM(ProjectDetailsTable[SubconCost1inMonth])</f>
        <v/>
      </c>
      <c r="BG6" s="92" t="n"/>
      <c r="BH6" s="105">
        <f>SUM(ProjectDetailsTable[SubconCost2inMonth])</f>
        <v/>
      </c>
      <c r="BI6" s="92" t="n"/>
      <c r="BJ6" s="105">
        <f>SUM(ProjectDetailsTable[SubconCost3inMonth])</f>
        <v/>
      </c>
      <c r="BK6" s="92" t="n"/>
      <c r="BL6" s="105">
        <f>SUM(ProjectDetailsTable[SubconCost4inMonth])</f>
        <v/>
      </c>
      <c r="BM6" s="92" t="n"/>
      <c r="BN6" s="105">
        <f>SUM(ProjectDetailsTable[SubconCost5inMonth])</f>
        <v/>
      </c>
      <c r="BO6" s="106">
        <f>SUM(ProjectDetailsTable[Total SubconCostinMonth])</f>
        <v/>
      </c>
      <c r="BP6" s="92" t="n"/>
      <c r="BQ6" s="92" t="n"/>
      <c r="BR6" s="105">
        <f>SUM(ProjectDetailsTable[ExpensesType1inMonth])</f>
        <v/>
      </c>
      <c r="BS6" s="92" t="n"/>
      <c r="BT6" s="105">
        <f>SUM(ProjectDetailsTable[ExpensesType2inMonth])</f>
        <v/>
      </c>
      <c r="BU6" s="92" t="n"/>
      <c r="BV6" s="105">
        <f>SUM(ProjectDetailsTable[ExpensesType3inMonth])</f>
        <v/>
      </c>
      <c r="BW6" s="106">
        <f>SUM(ProjectDetailsTable[TotalExpensesinMonth])</f>
        <v/>
      </c>
      <c r="BX6" s="92" t="n"/>
      <c r="BY6" s="106">
        <f>SUM(ProjectDetailsTable[TotalNetFeeinMonth])</f>
        <v/>
      </c>
      <c r="BZ6" s="92" t="n"/>
      <c r="CA6" s="92" t="n"/>
      <c r="CB6" s="23" t="n"/>
      <c r="CC6" s="23" t="n"/>
      <c r="CD6" s="23" t="n"/>
      <c r="CE6" s="28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23" t="n"/>
      <c r="CY6" s="23" t="n"/>
      <c r="CZ6" s="23" t="n"/>
      <c r="DA6" s="23" t="n"/>
      <c r="DB6" s="23" t="n"/>
      <c r="DC6" s="23" t="n"/>
      <c r="DD6" s="23" t="n"/>
      <c r="DE6" s="23" t="n"/>
      <c r="DF6" s="23" t="n"/>
      <c r="DG6" s="23" t="n"/>
      <c r="DH6" s="23" t="n"/>
      <c r="DI6" s="23" t="n"/>
      <c r="DJ6" s="23" t="n"/>
      <c r="DK6" s="23" t="n"/>
      <c r="DL6" s="23" t="n"/>
      <c r="DM6" s="23" t="n"/>
      <c r="DN6" s="23" t="n"/>
      <c r="DO6" s="23" t="n"/>
      <c r="DP6" s="23" t="n"/>
      <c r="DQ6" s="23" t="n"/>
      <c r="DR6" s="23" t="n"/>
      <c r="DS6" s="23" t="n"/>
      <c r="DT6" s="23" t="n"/>
      <c r="DU6" s="23" t="n"/>
      <c r="DV6" s="23" t="n"/>
      <c r="DW6" s="23" t="n"/>
      <c r="DX6" s="23" t="n"/>
      <c r="DY6" s="23" t="n"/>
      <c r="DZ6" s="23" t="n"/>
      <c r="EA6" s="23" t="n"/>
      <c r="EB6" s="23" t="n"/>
    </row>
    <row r="7">
      <c r="BF7" s="29" t="n"/>
      <c r="BQ7" s="29" t="n"/>
      <c r="BY7" s="29" t="n"/>
      <c r="CA7" s="29" t="n"/>
    </row>
    <row r="8" ht="34.5" customFormat="1" customHeight="1" s="37" thickBot="1">
      <c r="A8" s="30" t="n"/>
      <c r="B8" s="31" t="inlineStr">
        <is>
          <t>JobCode</t>
        </is>
      </c>
      <c r="C8" s="31" t="inlineStr">
        <is>
          <t>JobName</t>
        </is>
      </c>
      <c r="D8" s="31" t="inlineStr">
        <is>
          <t>Live Deliverables</t>
        </is>
      </c>
      <c r="E8" s="32" t="inlineStr">
        <is>
          <t>ProjectType</t>
        </is>
      </c>
      <c r="F8" s="32" t="inlineStr">
        <is>
          <t>PrincipalDesigner</t>
        </is>
      </c>
      <c r="G8" s="57" t="inlineStr">
        <is>
          <t>Month</t>
        </is>
      </c>
      <c r="H8" s="79" t="inlineStr">
        <is>
          <t>Services1</t>
        </is>
      </c>
      <c r="I8" s="32" t="inlineStr">
        <is>
          <t>Stages1</t>
        </is>
      </c>
      <c r="J8" s="32" t="inlineStr">
        <is>
          <t>FeeType1</t>
        </is>
      </c>
      <c r="K8" s="80" t="inlineStr">
        <is>
          <t>Fee1inMonth</t>
        </is>
      </c>
      <c r="L8" s="93" t="inlineStr">
        <is>
          <t>Services2</t>
        </is>
      </c>
      <c r="M8" s="33" t="inlineStr">
        <is>
          <t>Stages2</t>
        </is>
      </c>
      <c r="N8" s="33" t="inlineStr">
        <is>
          <t>FeeType2</t>
        </is>
      </c>
      <c r="O8" s="80" t="inlineStr">
        <is>
          <t>Fee2inMonth</t>
        </is>
      </c>
      <c r="P8" s="93" t="inlineStr">
        <is>
          <t>Services3</t>
        </is>
      </c>
      <c r="Q8" s="33" t="inlineStr">
        <is>
          <t>Stages3</t>
        </is>
      </c>
      <c r="R8" s="33" t="inlineStr">
        <is>
          <t>FeeType3</t>
        </is>
      </c>
      <c r="S8" s="80" t="inlineStr">
        <is>
          <t>Fee3inMonth</t>
        </is>
      </c>
      <c r="T8" s="93" t="inlineStr">
        <is>
          <t>Services4</t>
        </is>
      </c>
      <c r="U8" s="33" t="inlineStr">
        <is>
          <t>Stages4</t>
        </is>
      </c>
      <c r="V8" s="33" t="inlineStr">
        <is>
          <t>FeeType4</t>
        </is>
      </c>
      <c r="W8" s="57" t="inlineStr">
        <is>
          <t>Fee4inMonth</t>
        </is>
      </c>
      <c r="X8" s="93" t="inlineStr">
        <is>
          <t>Services5</t>
        </is>
      </c>
      <c r="Y8" s="33" t="inlineStr">
        <is>
          <t>Stages5</t>
        </is>
      </c>
      <c r="Z8" s="33" t="inlineStr">
        <is>
          <t>FeeType5</t>
        </is>
      </c>
      <c r="AA8" s="80" t="inlineStr">
        <is>
          <t>Fee5inMonth</t>
        </is>
      </c>
      <c r="AB8" s="93" t="inlineStr">
        <is>
          <t>Services6</t>
        </is>
      </c>
      <c r="AC8" s="33" t="inlineStr">
        <is>
          <t>Stages6</t>
        </is>
      </c>
      <c r="AD8" s="33" t="inlineStr">
        <is>
          <t>FeeType6</t>
        </is>
      </c>
      <c r="AE8" s="80" t="inlineStr">
        <is>
          <t>Fee6inMonth</t>
        </is>
      </c>
      <c r="AF8" s="93" t="inlineStr">
        <is>
          <t>Services7</t>
        </is>
      </c>
      <c r="AG8" s="33" t="inlineStr">
        <is>
          <t>Stages7</t>
        </is>
      </c>
      <c r="AH8" s="33" t="inlineStr">
        <is>
          <t>FeeType7</t>
        </is>
      </c>
      <c r="AI8" s="80" t="inlineStr">
        <is>
          <t>Fee7inMonth</t>
        </is>
      </c>
      <c r="AJ8" s="93" t="inlineStr">
        <is>
          <t>Services8</t>
        </is>
      </c>
      <c r="AK8" s="33" t="inlineStr">
        <is>
          <t>Stages8</t>
        </is>
      </c>
      <c r="AL8" s="33" t="inlineStr">
        <is>
          <t>FeeType8</t>
        </is>
      </c>
      <c r="AM8" s="80" t="inlineStr">
        <is>
          <t>Fee8inMonth</t>
        </is>
      </c>
      <c r="AN8" s="93" t="inlineStr">
        <is>
          <t>Services9</t>
        </is>
      </c>
      <c r="AO8" s="33" t="inlineStr">
        <is>
          <t>Stages9</t>
        </is>
      </c>
      <c r="AP8" s="33" t="inlineStr">
        <is>
          <t>FeeType9</t>
        </is>
      </c>
      <c r="AQ8" s="57" t="inlineStr">
        <is>
          <t>Fee9inMonth</t>
        </is>
      </c>
      <c r="AR8" s="93" t="inlineStr">
        <is>
          <t>Services10</t>
        </is>
      </c>
      <c r="AS8" s="33" t="inlineStr">
        <is>
          <t>Stages10</t>
        </is>
      </c>
      <c r="AT8" s="33" t="inlineStr">
        <is>
          <t>FeeType10</t>
        </is>
      </c>
      <c r="AU8" s="80" t="inlineStr">
        <is>
          <t>Fee10inMonth</t>
        </is>
      </c>
      <c r="AV8" s="93" t="inlineStr">
        <is>
          <t>Services11</t>
        </is>
      </c>
      <c r="AW8" s="33" t="inlineStr">
        <is>
          <t>Stages11</t>
        </is>
      </c>
      <c r="AX8" s="33" t="inlineStr">
        <is>
          <t>FeeType11</t>
        </is>
      </c>
      <c r="AY8" s="80" t="inlineStr">
        <is>
          <t>Fee11inMonth</t>
        </is>
      </c>
      <c r="AZ8" s="93" t="inlineStr">
        <is>
          <t>Services12</t>
        </is>
      </c>
      <c r="BA8" s="33" t="inlineStr">
        <is>
          <t>Stages12</t>
        </is>
      </c>
      <c r="BB8" s="33" t="inlineStr">
        <is>
          <t>FeeType12</t>
        </is>
      </c>
      <c r="BC8" s="80" t="inlineStr">
        <is>
          <t>Fee12inMonth</t>
        </is>
      </c>
      <c r="BD8" s="98" t="inlineStr">
        <is>
          <t>TotalGrossFeeinMonth</t>
        </is>
      </c>
      <c r="BE8" s="33" t="inlineStr">
        <is>
          <t>SubconService1</t>
        </is>
      </c>
      <c r="BF8" s="33" t="inlineStr">
        <is>
          <t>SubconCost1inMonth</t>
        </is>
      </c>
      <c r="BG8" s="33" t="inlineStr">
        <is>
          <t>SubconService2</t>
        </is>
      </c>
      <c r="BH8" s="33" t="inlineStr">
        <is>
          <t>SubconCost2inMonth</t>
        </is>
      </c>
      <c r="BI8" s="33" t="inlineStr">
        <is>
          <t>SubconService3</t>
        </is>
      </c>
      <c r="BJ8" s="33" t="inlineStr">
        <is>
          <t>SubconCost3inMonth</t>
        </is>
      </c>
      <c r="BK8" s="33" t="inlineStr">
        <is>
          <t>SubconService4</t>
        </is>
      </c>
      <c r="BL8" s="33" t="inlineStr">
        <is>
          <t>SubconCost4inMonth</t>
        </is>
      </c>
      <c r="BM8" s="33" t="inlineStr">
        <is>
          <t>SubconService5</t>
        </is>
      </c>
      <c r="BN8" s="33" t="inlineStr">
        <is>
          <t>SubconCost5inMonth</t>
        </is>
      </c>
      <c r="BO8" s="34" t="inlineStr">
        <is>
          <t>Total SubconCostinMonth</t>
        </is>
      </c>
      <c r="BP8" s="33" t="inlineStr">
        <is>
          <t>Are Subcon Costs Chargeable</t>
        </is>
      </c>
      <c r="BQ8" s="33" t="inlineStr">
        <is>
          <t>ExpensesType1</t>
        </is>
      </c>
      <c r="BR8" s="35" t="inlineStr">
        <is>
          <t>ExpensesType1inMonth</t>
        </is>
      </c>
      <c r="BS8" s="35" t="inlineStr">
        <is>
          <t>ExpensesType2</t>
        </is>
      </c>
      <c r="BT8" s="35" t="inlineStr">
        <is>
          <t>ExpensesType2inMonth</t>
        </is>
      </c>
      <c r="BU8" s="35" t="inlineStr">
        <is>
          <t>ExpensesType3</t>
        </is>
      </c>
      <c r="BV8" s="35" t="inlineStr">
        <is>
          <t>ExpensesType3inMonth</t>
        </is>
      </c>
      <c r="BW8" s="36" t="inlineStr">
        <is>
          <t>TotalExpensesinMonth</t>
        </is>
      </c>
      <c r="BX8" s="35" t="inlineStr">
        <is>
          <t>Are Expenses Chargeable</t>
        </is>
      </c>
      <c r="BY8" s="36" t="inlineStr">
        <is>
          <t>TotalNetFeeinMonth</t>
        </is>
      </c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0" t="n"/>
      <c r="DQ8" s="30" t="n"/>
      <c r="DR8" s="30" t="n"/>
      <c r="DS8" s="30" t="n"/>
      <c r="DT8" s="30" t="n"/>
      <c r="DU8" s="30" t="n"/>
      <c r="DV8" s="30" t="n"/>
      <c r="DW8" s="30" t="n"/>
      <c r="DX8" s="30" t="n"/>
      <c r="DY8" s="30" t="n"/>
      <c r="DZ8" s="30" t="n"/>
    </row>
    <row r="9" ht="13.5" customHeight="1">
      <c r="B9" s="38">
        <f>$B$3</f>
        <v/>
      </c>
      <c r="C9" s="39">
        <f>$C$3</f>
        <v/>
      </c>
      <c r="D9" s="40">
        <f>IF(SUM(COUNTIF(H9, "*"), COUNTIF(L9, "*"), COUNTIF(P9, "*"), COUNTIF(T9, "*"), COUNTIF(X9, "*"), COUNTIF(AB9, "*"), COUNTIF(AF9, "*"), COUNTIF(AJ9, "*"), COUNTIF(AN9, "*"), COUNTIF(AR9, "*"), COUNTIF(AV9, "*"), COUNTIF(AZ9, "*"))&gt;0, "Y", "N")</f>
        <v/>
      </c>
      <c r="E9" s="11" t="n"/>
      <c r="F9" s="11" t="n"/>
      <c r="G9" s="58" t="n">
        <v>46023</v>
      </c>
      <c r="H9" s="81" t="n"/>
      <c r="I9" s="11" t="n"/>
      <c r="J9" s="41" t="n"/>
      <c r="K9" s="107" t="n"/>
      <c r="L9" s="81" t="n"/>
      <c r="M9" s="11" t="n"/>
      <c r="N9" s="11" t="n"/>
      <c r="O9" s="107" t="n"/>
      <c r="P9" s="81" t="n"/>
      <c r="Q9" s="11" t="n"/>
      <c r="R9" s="11" t="n"/>
      <c r="S9" s="107" t="n"/>
      <c r="T9" s="81" t="n"/>
      <c r="U9" s="11" t="n"/>
      <c r="V9" s="11" t="n"/>
      <c r="W9" s="108" t="n"/>
      <c r="X9" s="81" t="n"/>
      <c r="Y9" s="11" t="n"/>
      <c r="Z9" s="11" t="n"/>
      <c r="AA9" s="107" t="n"/>
      <c r="AB9" s="81" t="n"/>
      <c r="AC9" s="11" t="n"/>
      <c r="AD9" s="11" t="n"/>
      <c r="AE9" s="107" t="n"/>
      <c r="AF9" s="81" t="n"/>
      <c r="AG9" s="11" t="n"/>
      <c r="AH9" s="11" t="n"/>
      <c r="AI9" s="107" t="n"/>
      <c r="AJ9" s="81" t="n"/>
      <c r="AK9" s="11" t="n"/>
      <c r="AL9" s="11" t="n"/>
      <c r="AM9" s="107" t="n"/>
      <c r="AN9" s="81" t="n"/>
      <c r="AO9" s="11" t="n"/>
      <c r="AP9" s="11" t="n"/>
      <c r="AQ9" s="109" t="n"/>
      <c r="AR9" s="81" t="n"/>
      <c r="AS9" s="11" t="n"/>
      <c r="AT9" s="11" t="n"/>
      <c r="AU9" s="107" t="n"/>
      <c r="AV9" s="81" t="n"/>
      <c r="AW9" s="11" t="n"/>
      <c r="AX9" s="11" t="n"/>
      <c r="AY9" s="107" t="n"/>
      <c r="AZ9" s="81" t="n"/>
      <c r="BA9" s="11" t="n"/>
      <c r="BB9" s="11" t="n"/>
      <c r="BC9" s="107" t="n"/>
      <c r="BD9" s="110">
        <f>SUM(K9,O9,S9,W9,AA9,AE9,AI9,AM9,AQ9,AU9,AY9,BC9)</f>
        <v/>
      </c>
      <c r="BE9" s="12" t="n"/>
      <c r="BF9" s="111" t="n"/>
      <c r="BG9" s="12" t="n"/>
      <c r="BH9" s="111" t="n"/>
      <c r="BI9" s="12" t="n"/>
      <c r="BJ9" s="111" t="n"/>
      <c r="BK9" s="12" t="n"/>
      <c r="BL9" s="111" t="n"/>
      <c r="BM9" s="12" t="n"/>
      <c r="BN9" s="111" t="n"/>
      <c r="BO9" s="112">
        <f>SUM(BF9,BH9,BJ9,BL9,BN9)</f>
        <v/>
      </c>
      <c r="BP9" s="12" t="n"/>
      <c r="BQ9" s="12" t="n"/>
      <c r="BR9" s="113" t="n"/>
      <c r="BS9" s="45" t="n"/>
      <c r="BT9" s="113" t="n"/>
      <c r="BU9" s="45" t="n"/>
      <c r="BV9" s="113" t="n"/>
      <c r="BW9" s="114">
        <f>SUM(BR9,BT9,BV9)</f>
        <v/>
      </c>
      <c r="BX9" s="45" t="n"/>
      <c r="BY9" s="114">
        <f>BD9 - IF(BP9="Y", 0, BO9) - IF(BX9="Y", 0, BW9)</f>
        <v/>
      </c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</row>
    <row r="10" ht="13.5" customHeight="1">
      <c r="B10" s="47">
        <f>$B$3</f>
        <v/>
      </c>
      <c r="C10" s="48">
        <f>$C$3</f>
        <v/>
      </c>
      <c r="D10" s="40">
        <f>IF(SUM(COUNTIF(H10, "*"), COUNTIF(L10, "*"), COUNTIF(P10, "*"), COUNTIF(T10, "*"), COUNTIF(X10, "*"), COUNTIF(AB10, "*"), COUNTIF(AF10, "*"), COUNTIF(AJ10, "*"), COUNTIF(AN10, "*"), COUNTIF(AR10, "*"), COUNTIF(AV10, "*"), COUNTIF(AZ10, "*"))&gt;0, "Y", "N")</f>
        <v/>
      </c>
      <c r="E10" s="49" t="n"/>
      <c r="F10" s="49" t="n"/>
      <c r="G10" s="59" t="n">
        <v>46054</v>
      </c>
      <c r="H10" s="83" t="n"/>
      <c r="I10" s="11" t="n"/>
      <c r="J10" s="41" t="n"/>
      <c r="K10" s="107" t="n"/>
      <c r="L10" s="83" t="n"/>
      <c r="M10" s="49" t="n"/>
      <c r="N10" s="49" t="n"/>
      <c r="O10" s="115" t="n"/>
      <c r="P10" s="83" t="n"/>
      <c r="Q10" s="49" t="n"/>
      <c r="R10" s="49" t="n"/>
      <c r="S10" s="115" t="n"/>
      <c r="T10" s="83" t="n"/>
      <c r="U10" s="49" t="n"/>
      <c r="V10" s="49" t="n"/>
      <c r="W10" s="116" t="n"/>
      <c r="X10" s="83" t="n"/>
      <c r="Y10" s="49" t="n"/>
      <c r="Z10" s="49" t="n"/>
      <c r="AA10" s="115" t="n"/>
      <c r="AB10" s="83" t="n"/>
      <c r="AC10" s="49" t="n"/>
      <c r="AD10" s="49" t="n"/>
      <c r="AE10" s="115" t="n"/>
      <c r="AF10" s="83" t="n"/>
      <c r="AG10" s="49" t="n"/>
      <c r="AH10" s="49" t="n"/>
      <c r="AI10" s="115" t="n"/>
      <c r="AJ10" s="83" t="n"/>
      <c r="AK10" s="49" t="n"/>
      <c r="AL10" s="49" t="n"/>
      <c r="AM10" s="115" t="n"/>
      <c r="AN10" s="83" t="n"/>
      <c r="AO10" s="49" t="n"/>
      <c r="AP10" s="49" t="n"/>
      <c r="AQ10" s="117" t="n"/>
      <c r="AR10" s="83" t="n"/>
      <c r="AS10" s="49" t="n"/>
      <c r="AT10" s="49" t="n"/>
      <c r="AU10" s="115" t="n"/>
      <c r="AV10" s="83" t="n"/>
      <c r="AW10" s="49" t="n"/>
      <c r="AX10" s="49" t="n"/>
      <c r="AY10" s="115" t="n"/>
      <c r="AZ10" s="83" t="n"/>
      <c r="BA10" s="49" t="n"/>
      <c r="BB10" s="49" t="n"/>
      <c r="BC10" s="115" t="n"/>
      <c r="BD10" s="110">
        <f>SUM(K10,O10,S10,W10,AA10,AE10,AI10,AM10,AQ10,AU10,AY10,BC10)</f>
        <v/>
      </c>
      <c r="BE10" s="12" t="n"/>
      <c r="BF10" s="111" t="n"/>
      <c r="BG10" s="45" t="n"/>
      <c r="BH10" s="113" t="n"/>
      <c r="BI10" s="45" t="n"/>
      <c r="BJ10" s="113" t="n"/>
      <c r="BK10" s="45" t="n"/>
      <c r="BL10" s="113" t="n"/>
      <c r="BM10" s="45" t="n"/>
      <c r="BN10" s="113" t="n"/>
      <c r="BO10" s="114">
        <f>SUM(BF10,BH10,BJ10,BL10,BN10)</f>
        <v/>
      </c>
      <c r="BP10" s="12" t="n"/>
      <c r="BQ10" s="45" t="n"/>
      <c r="BR10" s="113" t="n"/>
      <c r="BS10" s="45" t="n"/>
      <c r="BT10" s="113" t="n"/>
      <c r="BU10" s="45" t="n"/>
      <c r="BV10" s="113" t="n"/>
      <c r="BW10" s="114">
        <f>SUM(BR10,BT10,BV10)</f>
        <v/>
      </c>
      <c r="BX10" s="45" t="n"/>
      <c r="BY10" s="114">
        <f>BD10 - IF(BP10="Y", 0, BO10) - IF(BX10="Y", 0, BW10)</f>
        <v/>
      </c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</row>
    <row r="11" ht="13.5" customHeight="1">
      <c r="B11" s="47">
        <f>$B$3</f>
        <v/>
      </c>
      <c r="C11" s="48">
        <f>$C$3</f>
        <v/>
      </c>
      <c r="D11" s="40">
        <f>IF(SUM(COUNTIF(H11, "*"), COUNTIF(L11, "*"), COUNTIF(P11, "*"), COUNTIF(T11, "*"), COUNTIF(X11, "*"), COUNTIF(AB11, "*"), COUNTIF(AF11, "*"), COUNTIF(AJ11, "*"), COUNTIF(AN11, "*"), COUNTIF(AR11, "*"), COUNTIF(AV11, "*"), COUNTIF(AZ11, "*"))&gt;0, "Y", "N")</f>
        <v/>
      </c>
      <c r="E11" s="49" t="n"/>
      <c r="F11" s="49" t="n"/>
      <c r="G11" s="59" t="n">
        <v>46082</v>
      </c>
      <c r="H11" s="83" t="n"/>
      <c r="I11" s="11" t="n"/>
      <c r="J11" s="41" t="n"/>
      <c r="K11" s="107" t="n"/>
      <c r="L11" s="83" t="n"/>
      <c r="M11" s="49" t="n"/>
      <c r="N11" s="49" t="n"/>
      <c r="O11" s="115" t="n"/>
      <c r="P11" s="83" t="n"/>
      <c r="Q11" s="49" t="n"/>
      <c r="R11" s="49" t="n"/>
      <c r="S11" s="115" t="n"/>
      <c r="T11" s="83" t="n"/>
      <c r="U11" s="49" t="n"/>
      <c r="V11" s="49" t="n"/>
      <c r="W11" s="116" t="n"/>
      <c r="X11" s="83" t="n"/>
      <c r="Y11" s="49" t="n"/>
      <c r="Z11" s="49" t="n"/>
      <c r="AA11" s="115" t="n"/>
      <c r="AB11" s="83" t="n"/>
      <c r="AC11" s="49" t="n"/>
      <c r="AD11" s="49" t="n"/>
      <c r="AE11" s="115" t="n"/>
      <c r="AF11" s="83" t="n"/>
      <c r="AG11" s="49" t="n"/>
      <c r="AH11" s="49" t="n"/>
      <c r="AI11" s="115" t="n"/>
      <c r="AJ11" s="83" t="n"/>
      <c r="AK11" s="49" t="n"/>
      <c r="AL11" s="49" t="n"/>
      <c r="AM11" s="115" t="n"/>
      <c r="AN11" s="83" t="n"/>
      <c r="AO11" s="49" t="n"/>
      <c r="AP11" s="49" t="n"/>
      <c r="AQ11" s="117" t="n"/>
      <c r="AR11" s="83" t="n"/>
      <c r="AS11" s="49" t="n"/>
      <c r="AT11" s="49" t="n"/>
      <c r="AU11" s="115" t="n"/>
      <c r="AV11" s="83" t="n"/>
      <c r="AW11" s="49" t="n"/>
      <c r="AX11" s="49" t="n"/>
      <c r="AY11" s="115" t="n"/>
      <c r="AZ11" s="83" t="n"/>
      <c r="BA11" s="49" t="n"/>
      <c r="BB11" s="49" t="n"/>
      <c r="BC11" s="115" t="n"/>
      <c r="BD11" s="110">
        <f>SUM(K11,O11,S11,W11,AA11,AE11,AI11,AM11,AQ11,AU11,AY11,BC11)</f>
        <v/>
      </c>
      <c r="BE11" s="12" t="n"/>
      <c r="BF11" s="111" t="n"/>
      <c r="BG11" s="45" t="n"/>
      <c r="BH11" s="113" t="n"/>
      <c r="BI11" s="45" t="n"/>
      <c r="BJ11" s="113" t="n"/>
      <c r="BK11" s="45" t="n"/>
      <c r="BL11" s="113" t="n"/>
      <c r="BM11" s="45" t="n"/>
      <c r="BN11" s="113" t="n"/>
      <c r="BO11" s="114">
        <f>SUM(BF11,BH11,BJ11,BL11,BN11)</f>
        <v/>
      </c>
      <c r="BP11" s="45" t="n"/>
      <c r="BQ11" s="45" t="n"/>
      <c r="BR11" s="113" t="n"/>
      <c r="BS11" s="45" t="n"/>
      <c r="BT11" s="113" t="n"/>
      <c r="BU11" s="45" t="n"/>
      <c r="BV11" s="113" t="n"/>
      <c r="BW11" s="114">
        <f>SUM(BR11,BT11,BV11)</f>
        <v/>
      </c>
      <c r="BX11" s="45" t="n"/>
      <c r="BY11" s="114">
        <f>BD11 - IF(BP11="Y", 0, BO11) - IF(BX11="Y", 0, BW11)</f>
        <v/>
      </c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</row>
    <row r="12" ht="13.5" customHeight="1">
      <c r="B12" s="47">
        <f>$B$3</f>
        <v/>
      </c>
      <c r="C12" s="48">
        <f>$C$3</f>
        <v/>
      </c>
      <c r="D12" s="40">
        <f>IF(SUM(COUNTIF(H12, "*"), COUNTIF(L12, "*"), COUNTIF(P12, "*"), COUNTIF(T12, "*"), COUNTIF(X12, "*"), COUNTIF(AB12, "*"), COUNTIF(AF12, "*"), COUNTIF(AJ12, "*"), COUNTIF(AN12, "*"), COUNTIF(AR12, "*"), COUNTIF(AV12, "*"), COUNTIF(AZ12, "*"))&gt;0, "Y", "N")</f>
        <v/>
      </c>
      <c r="E12" s="49" t="n"/>
      <c r="F12" s="49" t="n"/>
      <c r="G12" s="59" t="n">
        <v>46113</v>
      </c>
      <c r="H12" s="83" t="n"/>
      <c r="I12" s="49" t="n"/>
      <c r="J12" s="41" t="n"/>
      <c r="K12" s="107" t="n"/>
      <c r="L12" s="83" t="n"/>
      <c r="M12" s="49" t="n"/>
      <c r="N12" s="49" t="n"/>
      <c r="O12" s="115" t="n"/>
      <c r="P12" s="83" t="n"/>
      <c r="Q12" s="49" t="n"/>
      <c r="R12" s="49" t="n"/>
      <c r="S12" s="115" t="n"/>
      <c r="T12" s="83" t="n"/>
      <c r="U12" s="49" t="n"/>
      <c r="V12" s="49" t="n"/>
      <c r="W12" s="116" t="n"/>
      <c r="X12" s="83" t="n"/>
      <c r="Y12" s="49" t="n"/>
      <c r="Z12" s="49" t="n"/>
      <c r="AA12" s="115" t="n"/>
      <c r="AB12" s="83" t="n"/>
      <c r="AC12" s="49" t="n"/>
      <c r="AD12" s="49" t="n"/>
      <c r="AE12" s="115" t="n"/>
      <c r="AF12" s="83" t="n"/>
      <c r="AG12" s="49" t="n"/>
      <c r="AH12" s="49" t="n"/>
      <c r="AI12" s="115" t="n"/>
      <c r="AJ12" s="83" t="n"/>
      <c r="AK12" s="49" t="n"/>
      <c r="AL12" s="49" t="n"/>
      <c r="AM12" s="115" t="n"/>
      <c r="AN12" s="83" t="n"/>
      <c r="AO12" s="49" t="n"/>
      <c r="AP12" s="49" t="n"/>
      <c r="AQ12" s="117" t="n"/>
      <c r="AR12" s="83" t="n"/>
      <c r="AS12" s="49" t="n"/>
      <c r="AT12" s="49" t="n"/>
      <c r="AU12" s="115" t="n"/>
      <c r="AV12" s="83" t="n"/>
      <c r="AW12" s="49" t="n"/>
      <c r="AX12" s="49" t="n"/>
      <c r="AY12" s="115" t="n"/>
      <c r="AZ12" s="83" t="n"/>
      <c r="BA12" s="49" t="n"/>
      <c r="BB12" s="49" t="n"/>
      <c r="BC12" s="115" t="n"/>
      <c r="BD12" s="110">
        <f>SUM(K12,O12,S12,W12,AA12,AE12,AI12,AM12,AQ12,AU12,AY12,BC12)</f>
        <v/>
      </c>
      <c r="BE12" s="45" t="n"/>
      <c r="BF12" s="113" t="n"/>
      <c r="BG12" s="45" t="n"/>
      <c r="BH12" s="113" t="n"/>
      <c r="BI12" s="45" t="n"/>
      <c r="BJ12" s="113" t="n"/>
      <c r="BK12" s="45" t="n"/>
      <c r="BL12" s="113" t="n"/>
      <c r="BM12" s="45" t="n"/>
      <c r="BN12" s="113" t="n"/>
      <c r="BO12" s="114">
        <f>SUM(BF12,BH12,BJ12,BL12,BN12)</f>
        <v/>
      </c>
      <c r="BP12" s="45" t="n"/>
      <c r="BQ12" s="45" t="n"/>
      <c r="BR12" s="113" t="n"/>
      <c r="BS12" s="45" t="n"/>
      <c r="BT12" s="113" t="n"/>
      <c r="BU12" s="45" t="n"/>
      <c r="BV12" s="113" t="n"/>
      <c r="BW12" s="114">
        <f>SUM(BR12,BT12,BV12)</f>
        <v/>
      </c>
      <c r="BX12" s="45" t="n"/>
      <c r="BY12" s="114">
        <f>BD12 - IF(BP12="Y", 0, BO12) - IF(BX12="Y", 0, BW12)</f>
        <v/>
      </c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</row>
    <row r="13" ht="13.5" customHeight="1">
      <c r="B13" s="47">
        <f>$B$3</f>
        <v/>
      </c>
      <c r="C13" s="48">
        <f>$C$3</f>
        <v/>
      </c>
      <c r="D13" s="40">
        <f>IF(SUM(COUNTIF(H13, "*"), COUNTIF(L13, "*"), COUNTIF(P13, "*"), COUNTIF(T13, "*"), COUNTIF(X13, "*"), COUNTIF(AB13, "*"), COUNTIF(AF13, "*"), COUNTIF(AJ13, "*"), COUNTIF(AN13, "*"), COUNTIF(AR13, "*"), COUNTIF(AV13, "*"), COUNTIF(AZ13, "*"))&gt;0, "Y", "N")</f>
        <v/>
      </c>
      <c r="E13" s="49" t="n"/>
      <c r="F13" s="49" t="n"/>
      <c r="G13" s="59" t="n">
        <v>46143</v>
      </c>
      <c r="H13" s="83" t="n"/>
      <c r="I13" s="49" t="n"/>
      <c r="J13" s="50" t="n"/>
      <c r="K13" s="107" t="n"/>
      <c r="L13" s="83" t="n"/>
      <c r="M13" s="49" t="n"/>
      <c r="N13" s="49" t="n"/>
      <c r="O13" s="115" t="n"/>
      <c r="P13" s="83" t="n"/>
      <c r="Q13" s="49" t="n"/>
      <c r="R13" s="49" t="n"/>
      <c r="S13" s="115" t="n"/>
      <c r="T13" s="83" t="n"/>
      <c r="U13" s="49" t="n"/>
      <c r="V13" s="49" t="n"/>
      <c r="W13" s="116" t="n"/>
      <c r="X13" s="83" t="n"/>
      <c r="Y13" s="49" t="n"/>
      <c r="Z13" s="49" t="n"/>
      <c r="AA13" s="115" t="n"/>
      <c r="AB13" s="83" t="n"/>
      <c r="AC13" s="49" t="n"/>
      <c r="AD13" s="49" t="n"/>
      <c r="AE13" s="115" t="n"/>
      <c r="AF13" s="83" t="n"/>
      <c r="AG13" s="49" t="n"/>
      <c r="AH13" s="49" t="n"/>
      <c r="AI13" s="115" t="n"/>
      <c r="AJ13" s="83" t="n"/>
      <c r="AK13" s="49" t="n"/>
      <c r="AL13" s="49" t="n"/>
      <c r="AM13" s="115" t="n"/>
      <c r="AN13" s="83" t="n"/>
      <c r="AO13" s="49" t="n"/>
      <c r="AP13" s="49" t="n"/>
      <c r="AQ13" s="117" t="n"/>
      <c r="AR13" s="83" t="n"/>
      <c r="AS13" s="49" t="n"/>
      <c r="AT13" s="49" t="n"/>
      <c r="AU13" s="115" t="n"/>
      <c r="AV13" s="83" t="n"/>
      <c r="AW13" s="49" t="n"/>
      <c r="AX13" s="49" t="n"/>
      <c r="AY13" s="115" t="n"/>
      <c r="AZ13" s="83" t="n"/>
      <c r="BA13" s="49" t="n"/>
      <c r="BB13" s="49" t="n"/>
      <c r="BC13" s="115" t="n"/>
      <c r="BD13" s="110">
        <f>SUM(K13,O13,S13,W13,AA13,AE13,AI13,AM13,AQ13,AU13,AY13,BC13)</f>
        <v/>
      </c>
      <c r="BE13" s="45" t="n"/>
      <c r="BF13" s="113" t="n"/>
      <c r="BG13" s="45" t="n"/>
      <c r="BH13" s="113" t="n"/>
      <c r="BI13" s="45" t="n"/>
      <c r="BJ13" s="113" t="n"/>
      <c r="BK13" s="45" t="n"/>
      <c r="BL13" s="113" t="n"/>
      <c r="BM13" s="45" t="n"/>
      <c r="BN13" s="113" t="n"/>
      <c r="BO13" s="114">
        <f>SUM(BF13,BH13,BJ13,BL13,BN13)</f>
        <v/>
      </c>
      <c r="BP13" s="45" t="n"/>
      <c r="BQ13" s="45" t="n"/>
      <c r="BR13" s="113" t="n"/>
      <c r="BS13" s="45" t="n"/>
      <c r="BT13" s="113" t="n"/>
      <c r="BU13" s="45" t="n"/>
      <c r="BV13" s="113" t="n"/>
      <c r="BW13" s="114">
        <f>SUM(BR13,BT13,BV13)</f>
        <v/>
      </c>
      <c r="BX13" s="45" t="n"/>
      <c r="BY13" s="114">
        <f>BD13 - IF(BP13="Y", 0, BO13) - IF(BX13="Y", 0, BW13)</f>
        <v/>
      </c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</row>
    <row r="14" ht="13.5" customHeight="1">
      <c r="B14" s="47">
        <f>$B$3</f>
        <v/>
      </c>
      <c r="C14" s="48">
        <f>$C$3</f>
        <v/>
      </c>
      <c r="D14" s="40">
        <f>IF(SUM(COUNTIF(H14, "*"), COUNTIF(L14, "*"), COUNTIF(P14, "*"), COUNTIF(T14, "*"), COUNTIF(X14, "*"), COUNTIF(AB14, "*"), COUNTIF(AF14, "*"), COUNTIF(AJ14, "*"), COUNTIF(AN14, "*"), COUNTIF(AR14, "*"), COUNTIF(AV14, "*"), COUNTIF(AZ14, "*"))&gt;0, "Y", "N")</f>
        <v/>
      </c>
      <c r="E14" s="49" t="n"/>
      <c r="F14" s="49" t="n"/>
      <c r="G14" s="59" t="n">
        <v>46174</v>
      </c>
      <c r="H14" s="83" t="n"/>
      <c r="I14" s="49" t="n"/>
      <c r="J14" s="50" t="n"/>
      <c r="K14" s="107" t="n"/>
      <c r="L14" s="83" t="n"/>
      <c r="M14" s="49" t="n"/>
      <c r="N14" s="49" t="n"/>
      <c r="O14" s="115" t="n"/>
      <c r="P14" s="83" t="n"/>
      <c r="Q14" s="49" t="n"/>
      <c r="R14" s="49" t="n"/>
      <c r="S14" s="115" t="n"/>
      <c r="T14" s="83" t="n"/>
      <c r="U14" s="49" t="n"/>
      <c r="V14" s="49" t="n"/>
      <c r="W14" s="116" t="n"/>
      <c r="X14" s="83" t="n"/>
      <c r="Y14" s="49" t="n"/>
      <c r="Z14" s="49" t="n"/>
      <c r="AA14" s="115" t="n"/>
      <c r="AB14" s="83" t="n"/>
      <c r="AC14" s="49" t="n"/>
      <c r="AD14" s="49" t="n"/>
      <c r="AE14" s="115" t="n"/>
      <c r="AF14" s="83" t="n"/>
      <c r="AG14" s="49" t="n"/>
      <c r="AH14" s="49" t="n"/>
      <c r="AI14" s="115" t="n"/>
      <c r="AJ14" s="83" t="n"/>
      <c r="AK14" s="49" t="n"/>
      <c r="AL14" s="49" t="n"/>
      <c r="AM14" s="115" t="n"/>
      <c r="AN14" s="83" t="n"/>
      <c r="AO14" s="49" t="n"/>
      <c r="AP14" s="49" t="n"/>
      <c r="AQ14" s="117" t="n"/>
      <c r="AR14" s="83" t="n"/>
      <c r="AS14" s="49" t="n"/>
      <c r="AT14" s="49" t="n"/>
      <c r="AU14" s="115" t="n"/>
      <c r="AV14" s="83" t="n"/>
      <c r="AW14" s="49" t="n"/>
      <c r="AX14" s="49" t="n"/>
      <c r="AY14" s="115" t="n"/>
      <c r="AZ14" s="83" t="n"/>
      <c r="BA14" s="49" t="n"/>
      <c r="BB14" s="49" t="n"/>
      <c r="BC14" s="115" t="n"/>
      <c r="BD14" s="110">
        <f>SUM(K14,O14,S14,W14,AA14,AE14,AI14,AM14,AQ14,AU14,AY14,BC14)</f>
        <v/>
      </c>
      <c r="BE14" s="45" t="n"/>
      <c r="BF14" s="113" t="n"/>
      <c r="BG14" s="45" t="n"/>
      <c r="BH14" s="113" t="n"/>
      <c r="BI14" s="45" t="n"/>
      <c r="BJ14" s="113" t="n"/>
      <c r="BK14" s="45" t="n"/>
      <c r="BL14" s="113" t="n"/>
      <c r="BM14" s="45" t="n"/>
      <c r="BN14" s="113" t="n"/>
      <c r="BO14" s="114">
        <f>SUM(BF14,BH14,BJ14,BL14,BN14)</f>
        <v/>
      </c>
      <c r="BP14" s="45" t="n"/>
      <c r="BQ14" s="45" t="n"/>
      <c r="BR14" s="113" t="n"/>
      <c r="BS14" s="45" t="n"/>
      <c r="BT14" s="113" t="n"/>
      <c r="BU14" s="45" t="n"/>
      <c r="BV14" s="113" t="n"/>
      <c r="BW14" s="114">
        <f>SUM(BR14,BT14,BV14)</f>
        <v/>
      </c>
      <c r="BX14" s="45" t="n"/>
      <c r="BY14" s="114">
        <f>BD14 - IF(BP14="Y", 0, BO14) - IF(BX14="Y", 0, BW14)</f>
        <v/>
      </c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</row>
    <row r="15" ht="13.5" customHeight="1">
      <c r="B15" s="47">
        <f>$B$3</f>
        <v/>
      </c>
      <c r="C15" s="48">
        <f>$C$3</f>
        <v/>
      </c>
      <c r="D15" s="40">
        <f>IF(SUM(COUNTIF(H15, "*"), COUNTIF(L15, "*"), COUNTIF(P15, "*"), COUNTIF(T15, "*"), COUNTIF(X15, "*"), COUNTIF(AB15, "*"), COUNTIF(AF15, "*"), COUNTIF(AJ15, "*"), COUNTIF(AN15, "*"), COUNTIF(AR15, "*"), COUNTIF(AV15, "*"), COUNTIF(AZ15, "*"))&gt;0, "Y", "N")</f>
        <v/>
      </c>
      <c r="E15" s="49" t="n"/>
      <c r="F15" s="49" t="n"/>
      <c r="G15" s="59" t="n">
        <v>46204</v>
      </c>
      <c r="H15" s="83" t="n"/>
      <c r="I15" s="49" t="n"/>
      <c r="J15" s="50" t="n"/>
      <c r="K15" s="107" t="n"/>
      <c r="L15" s="83" t="n"/>
      <c r="M15" s="49" t="n"/>
      <c r="N15" s="49" t="n"/>
      <c r="O15" s="115" t="n"/>
      <c r="P15" s="83" t="n"/>
      <c r="Q15" s="49" t="n"/>
      <c r="R15" s="49" t="n"/>
      <c r="S15" s="115" t="n"/>
      <c r="T15" s="83" t="n"/>
      <c r="U15" s="49" t="n"/>
      <c r="V15" s="49" t="n"/>
      <c r="W15" s="116" t="n"/>
      <c r="X15" s="83" t="n"/>
      <c r="Y15" s="49" t="n"/>
      <c r="Z15" s="49" t="n"/>
      <c r="AA15" s="115" t="n"/>
      <c r="AB15" s="83" t="n"/>
      <c r="AC15" s="49" t="n"/>
      <c r="AD15" s="49" t="n"/>
      <c r="AE15" s="115" t="n"/>
      <c r="AF15" s="83" t="n"/>
      <c r="AG15" s="49" t="n"/>
      <c r="AH15" s="49" t="n"/>
      <c r="AI15" s="115" t="n"/>
      <c r="AJ15" s="83" t="n"/>
      <c r="AK15" s="49" t="n"/>
      <c r="AL15" s="49" t="n"/>
      <c r="AM15" s="115" t="n"/>
      <c r="AN15" s="83" t="n"/>
      <c r="AO15" s="49" t="n"/>
      <c r="AP15" s="49" t="n"/>
      <c r="AQ15" s="117" t="n"/>
      <c r="AR15" s="83" t="n"/>
      <c r="AS15" s="49" t="n"/>
      <c r="AT15" s="49" t="n"/>
      <c r="AU15" s="115" t="n"/>
      <c r="AV15" s="83" t="n"/>
      <c r="AW15" s="49" t="n"/>
      <c r="AX15" s="49" t="n"/>
      <c r="AY15" s="115" t="n"/>
      <c r="AZ15" s="83" t="n"/>
      <c r="BA15" s="49" t="n"/>
      <c r="BB15" s="49" t="n"/>
      <c r="BC15" s="115" t="n"/>
      <c r="BD15" s="110">
        <f>SUM(K15,O15,S15,W15,AA15,AE15,AI15,AM15,AQ15,AU15,AY15,BC15)</f>
        <v/>
      </c>
      <c r="BE15" s="45" t="n"/>
      <c r="BF15" s="113" t="n"/>
      <c r="BG15" s="45" t="n"/>
      <c r="BH15" s="113" t="n"/>
      <c r="BI15" s="45" t="n"/>
      <c r="BJ15" s="113" t="n"/>
      <c r="BK15" s="45" t="n"/>
      <c r="BL15" s="113" t="n"/>
      <c r="BM15" s="45" t="n"/>
      <c r="BN15" s="113" t="n"/>
      <c r="BO15" s="114">
        <f>SUM(BF15,BH15,BJ15,BL15,BN15)</f>
        <v/>
      </c>
      <c r="BP15" s="45" t="n"/>
      <c r="BQ15" s="45" t="n"/>
      <c r="BR15" s="113" t="n"/>
      <c r="BS15" s="45" t="n"/>
      <c r="BT15" s="113" t="n"/>
      <c r="BU15" s="45" t="n"/>
      <c r="BV15" s="113" t="n"/>
      <c r="BW15" s="114">
        <f>SUM(BR15,BT15,BV15)</f>
        <v/>
      </c>
      <c r="BX15" s="45" t="n"/>
      <c r="BY15" s="114">
        <f>BD15 - IF(BP15="Y", 0, BO15) - IF(BX15="Y", 0, BW15)</f>
        <v/>
      </c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</row>
    <row r="16" ht="13.5" customHeight="1">
      <c r="B16" s="47">
        <f>$B$3</f>
        <v/>
      </c>
      <c r="C16" s="48">
        <f>$C$3</f>
        <v/>
      </c>
      <c r="D16" s="40">
        <f>IF(SUM(COUNTIF(H16, "*"), COUNTIF(L16, "*"), COUNTIF(P16, "*"), COUNTIF(T16, "*"), COUNTIF(X16, "*"), COUNTIF(AB16, "*"), COUNTIF(AF16, "*"), COUNTIF(AJ16, "*"), COUNTIF(AN16, "*"), COUNTIF(AR16, "*"), COUNTIF(AV16, "*"), COUNTIF(AZ16, "*"))&gt;0, "Y", "N")</f>
        <v/>
      </c>
      <c r="E16" s="49" t="n"/>
      <c r="F16" s="49" t="n"/>
      <c r="G16" s="59" t="n">
        <v>46235</v>
      </c>
      <c r="H16" s="83" t="n"/>
      <c r="I16" s="49" t="n"/>
      <c r="J16" s="50" t="n"/>
      <c r="K16" s="107" t="n"/>
      <c r="L16" s="83" t="n"/>
      <c r="M16" s="49" t="n"/>
      <c r="N16" s="49" t="n"/>
      <c r="O16" s="115" t="n"/>
      <c r="P16" s="83" t="n"/>
      <c r="Q16" s="49" t="n"/>
      <c r="R16" s="49" t="n"/>
      <c r="S16" s="115" t="n"/>
      <c r="T16" s="83" t="n"/>
      <c r="U16" s="49" t="n"/>
      <c r="V16" s="49" t="n"/>
      <c r="W16" s="116" t="n"/>
      <c r="X16" s="83" t="n"/>
      <c r="Y16" s="49" t="n"/>
      <c r="Z16" s="49" t="n"/>
      <c r="AA16" s="115" t="n"/>
      <c r="AB16" s="83" t="n"/>
      <c r="AC16" s="49" t="n"/>
      <c r="AD16" s="49" t="n"/>
      <c r="AE16" s="115" t="n"/>
      <c r="AF16" s="83" t="n"/>
      <c r="AG16" s="49" t="n"/>
      <c r="AH16" s="49" t="n"/>
      <c r="AI16" s="115" t="n"/>
      <c r="AJ16" s="83" t="n"/>
      <c r="AK16" s="49" t="n"/>
      <c r="AL16" s="49" t="n"/>
      <c r="AM16" s="115" t="n"/>
      <c r="AN16" s="83" t="n"/>
      <c r="AO16" s="49" t="n"/>
      <c r="AP16" s="49" t="n"/>
      <c r="AQ16" s="117" t="n"/>
      <c r="AR16" s="83" t="n"/>
      <c r="AS16" s="49" t="n"/>
      <c r="AT16" s="49" t="n"/>
      <c r="AU16" s="115" t="n"/>
      <c r="AV16" s="83" t="n"/>
      <c r="AW16" s="49" t="n"/>
      <c r="AX16" s="49" t="n"/>
      <c r="AY16" s="115" t="n"/>
      <c r="AZ16" s="83" t="n"/>
      <c r="BA16" s="49" t="n"/>
      <c r="BB16" s="49" t="n"/>
      <c r="BC16" s="115" t="n"/>
      <c r="BD16" s="110">
        <f>SUM(K16,O16,S16,W16,AA16,AE16,AI16,AM16,AQ16,AU16,AY16,BC16)</f>
        <v/>
      </c>
      <c r="BE16" s="45" t="n"/>
      <c r="BF16" s="113" t="n"/>
      <c r="BG16" s="45" t="n"/>
      <c r="BH16" s="113" t="n"/>
      <c r="BI16" s="45" t="n"/>
      <c r="BJ16" s="113" t="n"/>
      <c r="BK16" s="45" t="n"/>
      <c r="BL16" s="113" t="n"/>
      <c r="BM16" s="45" t="n"/>
      <c r="BN16" s="113" t="n"/>
      <c r="BO16" s="114">
        <f>SUM(BF16,BH16,BJ16,BL16,BN16)</f>
        <v/>
      </c>
      <c r="BP16" s="45" t="n"/>
      <c r="BQ16" s="45" t="n"/>
      <c r="BR16" s="113" t="n"/>
      <c r="BS16" s="45" t="n"/>
      <c r="BT16" s="113" t="n"/>
      <c r="BU16" s="45" t="n"/>
      <c r="BV16" s="113" t="n"/>
      <c r="BW16" s="114">
        <f>SUM(BR16,BT16,BV16)</f>
        <v/>
      </c>
      <c r="BX16" s="45" t="n"/>
      <c r="BY16" s="114">
        <f>BD16 - IF(BP16="Y", 0, BO16) - IF(BX16="Y", 0, BW16)</f>
        <v/>
      </c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</row>
    <row r="17" ht="13.5" customHeight="1">
      <c r="B17" s="47">
        <f>$B$3</f>
        <v/>
      </c>
      <c r="C17" s="48">
        <f>$C$3</f>
        <v/>
      </c>
      <c r="D17" s="40">
        <f>IF(SUM(COUNTIF(H17, "*"), COUNTIF(L17, "*"), COUNTIF(P17, "*"), COUNTIF(T17, "*"), COUNTIF(X17, "*"), COUNTIF(AB17, "*"), COUNTIF(AF17, "*"), COUNTIF(AJ17, "*"), COUNTIF(AN17, "*"), COUNTIF(AR17, "*"), COUNTIF(AV17, "*"), COUNTIF(AZ17, "*"))&gt;0, "Y", "N")</f>
        <v/>
      </c>
      <c r="E17" s="49" t="n"/>
      <c r="F17" s="49" t="n"/>
      <c r="G17" s="59" t="n">
        <v>46266</v>
      </c>
      <c r="H17" s="83" t="n"/>
      <c r="I17" s="49" t="n"/>
      <c r="J17" s="50" t="n"/>
      <c r="K17" s="115" t="n"/>
      <c r="L17" s="83" t="n"/>
      <c r="M17" s="49" t="n"/>
      <c r="N17" s="49" t="n"/>
      <c r="O17" s="115" t="n"/>
      <c r="P17" s="83" t="n"/>
      <c r="Q17" s="49" t="n"/>
      <c r="R17" s="49" t="n"/>
      <c r="S17" s="115" t="n"/>
      <c r="T17" s="83" t="n"/>
      <c r="U17" s="49" t="n"/>
      <c r="V17" s="49" t="n"/>
      <c r="W17" s="116" t="n"/>
      <c r="X17" s="83" t="n"/>
      <c r="Y17" s="49" t="n"/>
      <c r="Z17" s="49" t="n"/>
      <c r="AA17" s="115" t="n"/>
      <c r="AB17" s="83" t="n"/>
      <c r="AC17" s="49" t="n"/>
      <c r="AD17" s="49" t="n"/>
      <c r="AE17" s="115" t="n"/>
      <c r="AF17" s="83" t="n"/>
      <c r="AG17" s="49" t="n"/>
      <c r="AH17" s="49" t="n"/>
      <c r="AI17" s="115" t="n"/>
      <c r="AJ17" s="83" t="n"/>
      <c r="AK17" s="49" t="n"/>
      <c r="AL17" s="49" t="n"/>
      <c r="AM17" s="115" t="n"/>
      <c r="AN17" s="83" t="n"/>
      <c r="AO17" s="49" t="n"/>
      <c r="AP17" s="49" t="n"/>
      <c r="AQ17" s="117" t="n"/>
      <c r="AR17" s="83" t="n"/>
      <c r="AS17" s="49" t="n"/>
      <c r="AT17" s="49" t="n"/>
      <c r="AU17" s="115" t="n"/>
      <c r="AV17" s="83" t="n"/>
      <c r="AW17" s="49" t="n"/>
      <c r="AX17" s="49" t="n"/>
      <c r="AY17" s="115" t="n"/>
      <c r="AZ17" s="83" t="n"/>
      <c r="BA17" s="49" t="n"/>
      <c r="BB17" s="49" t="n"/>
      <c r="BC17" s="115" t="n"/>
      <c r="BD17" s="110">
        <f>SUM(K17,O17,S17,W17,AA17,AE17,AI17,AM17,AQ17,AU17,AY17,BC17)</f>
        <v/>
      </c>
      <c r="BE17" s="45" t="n"/>
      <c r="BF17" s="113" t="n"/>
      <c r="BG17" s="45" t="n"/>
      <c r="BH17" s="113" t="n"/>
      <c r="BI17" s="45" t="n"/>
      <c r="BJ17" s="113" t="n"/>
      <c r="BK17" s="45" t="n"/>
      <c r="BL17" s="113" t="n"/>
      <c r="BM17" s="45" t="n"/>
      <c r="BN17" s="113" t="n"/>
      <c r="BO17" s="114">
        <f>SUM(BF17,BH17,BJ17,BL17,BN17)</f>
        <v/>
      </c>
      <c r="BP17" s="45" t="n"/>
      <c r="BQ17" s="45" t="n"/>
      <c r="BR17" s="113" t="n"/>
      <c r="BS17" s="45" t="n"/>
      <c r="BT17" s="113" t="n"/>
      <c r="BU17" s="45" t="n"/>
      <c r="BV17" s="113" t="n"/>
      <c r="BW17" s="114">
        <f>SUM(BR17,BT17,BV17)</f>
        <v/>
      </c>
      <c r="BX17" s="45" t="n"/>
      <c r="BY17" s="114">
        <f>BD17 - IF(BP17="Y", 0, BO17) - IF(BX17="Y", 0, BW17)</f>
        <v/>
      </c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</row>
    <row r="18" ht="13.5" customHeight="1">
      <c r="B18" s="47">
        <f>$B$3</f>
        <v/>
      </c>
      <c r="C18" s="48">
        <f>$C$3</f>
        <v/>
      </c>
      <c r="D18" s="40">
        <f>IF(SUM(COUNTIF(H18, "*"), COUNTIF(L18, "*"), COUNTIF(P18, "*"), COUNTIF(T18, "*"), COUNTIF(X18, "*"), COUNTIF(AB18, "*"), COUNTIF(AF18, "*"), COUNTIF(AJ18, "*"), COUNTIF(AN18, "*"), COUNTIF(AR18, "*"), COUNTIF(AV18, "*"), COUNTIF(AZ18, "*"))&gt;0, "Y", "N")</f>
        <v/>
      </c>
      <c r="E18" s="49" t="n"/>
      <c r="F18" s="49" t="n"/>
      <c r="G18" s="59" t="n">
        <v>46296</v>
      </c>
      <c r="H18" s="83" t="n"/>
      <c r="I18" s="49" t="n"/>
      <c r="J18" s="50" t="n"/>
      <c r="K18" s="115" t="n"/>
      <c r="L18" s="83" t="n"/>
      <c r="M18" s="49" t="n"/>
      <c r="N18" s="49" t="n"/>
      <c r="O18" s="115" t="n"/>
      <c r="P18" s="83" t="n"/>
      <c r="Q18" s="49" t="n"/>
      <c r="R18" s="49" t="n"/>
      <c r="S18" s="115" t="n"/>
      <c r="T18" s="83" t="n"/>
      <c r="U18" s="49" t="n"/>
      <c r="V18" s="49" t="n"/>
      <c r="W18" s="116" t="n"/>
      <c r="X18" s="83" t="n"/>
      <c r="Y18" s="49" t="n"/>
      <c r="Z18" s="49" t="n"/>
      <c r="AA18" s="115" t="n"/>
      <c r="AB18" s="83" t="n"/>
      <c r="AC18" s="49" t="n"/>
      <c r="AD18" s="49" t="n"/>
      <c r="AE18" s="115" t="n"/>
      <c r="AF18" s="83" t="n"/>
      <c r="AG18" s="49" t="n"/>
      <c r="AH18" s="49" t="n"/>
      <c r="AI18" s="115" t="n"/>
      <c r="AJ18" s="83" t="n"/>
      <c r="AK18" s="49" t="n"/>
      <c r="AL18" s="49" t="n"/>
      <c r="AM18" s="115" t="n"/>
      <c r="AN18" s="83" t="n"/>
      <c r="AO18" s="49" t="n"/>
      <c r="AP18" s="49" t="n"/>
      <c r="AQ18" s="117" t="n"/>
      <c r="AR18" s="83" t="n"/>
      <c r="AS18" s="49" t="n"/>
      <c r="AT18" s="49" t="n"/>
      <c r="AU18" s="115" t="n"/>
      <c r="AV18" s="83" t="n"/>
      <c r="AW18" s="49" t="n"/>
      <c r="AX18" s="49" t="n"/>
      <c r="AY18" s="115" t="n"/>
      <c r="AZ18" s="83" t="n"/>
      <c r="BA18" s="49" t="n"/>
      <c r="BB18" s="49" t="n"/>
      <c r="BC18" s="115" t="n"/>
      <c r="BD18" s="110">
        <f>SUM(K18,O18,S18,W18,AA18,AE18,AI18,AM18,AQ18,AU18,AY18,BC18)</f>
        <v/>
      </c>
      <c r="BE18" s="45" t="n"/>
      <c r="BF18" s="113" t="n"/>
      <c r="BG18" s="45" t="n"/>
      <c r="BH18" s="113" t="n"/>
      <c r="BI18" s="45" t="n"/>
      <c r="BJ18" s="113" t="n"/>
      <c r="BK18" s="45" t="n"/>
      <c r="BL18" s="113" t="n"/>
      <c r="BM18" s="45" t="n"/>
      <c r="BN18" s="113" t="n"/>
      <c r="BO18" s="114">
        <f>SUM(BF18,BH18,BJ18,BL18,BN18)</f>
        <v/>
      </c>
      <c r="BP18" s="45" t="n"/>
      <c r="BQ18" s="45" t="n"/>
      <c r="BR18" s="113" t="n"/>
      <c r="BS18" s="45" t="n"/>
      <c r="BT18" s="113" t="n"/>
      <c r="BU18" s="45" t="n"/>
      <c r="BV18" s="113" t="n"/>
      <c r="BW18" s="114">
        <f>SUM(BR18,BT18,BV18)</f>
        <v/>
      </c>
      <c r="BX18" s="45" t="n"/>
      <c r="BY18" s="114">
        <f>BD18 - IF(BP18="Y", 0, BO18) - IF(BX18="Y", 0, BW18)</f>
        <v/>
      </c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</row>
    <row r="19" ht="13.5" customHeight="1">
      <c r="B19" s="47">
        <f>$B$3</f>
        <v/>
      </c>
      <c r="C19" s="48">
        <f>$C$3</f>
        <v/>
      </c>
      <c r="D19" s="40">
        <f>IF(SUM(COUNTIF(H19, "*"), COUNTIF(L19, "*"), COUNTIF(P19, "*"), COUNTIF(T19, "*"), COUNTIF(X19, "*"), COUNTIF(AB19, "*"), COUNTIF(AF19, "*"), COUNTIF(AJ19, "*"), COUNTIF(AN19, "*"), COUNTIF(AR19, "*"), COUNTIF(AV19, "*"), COUNTIF(AZ19, "*"))&gt;0, "Y", "N")</f>
        <v/>
      </c>
      <c r="E19" s="49" t="n"/>
      <c r="F19" s="49" t="n"/>
      <c r="G19" s="59" t="n">
        <v>46327</v>
      </c>
      <c r="H19" s="83" t="n"/>
      <c r="I19" s="49" t="n"/>
      <c r="J19" s="50" t="n"/>
      <c r="K19" s="115" t="n"/>
      <c r="L19" s="83" t="n"/>
      <c r="M19" s="49" t="n"/>
      <c r="N19" s="49" t="n"/>
      <c r="O19" s="115" t="n"/>
      <c r="P19" s="83" t="n"/>
      <c r="Q19" s="49" t="n"/>
      <c r="R19" s="49" t="n"/>
      <c r="S19" s="115" t="n"/>
      <c r="T19" s="83" t="n"/>
      <c r="U19" s="49" t="n"/>
      <c r="V19" s="49" t="n"/>
      <c r="W19" s="116" t="n"/>
      <c r="X19" s="83" t="n"/>
      <c r="Y19" s="49" t="n"/>
      <c r="Z19" s="49" t="n"/>
      <c r="AA19" s="115" t="n"/>
      <c r="AB19" s="83" t="n"/>
      <c r="AC19" s="49" t="n"/>
      <c r="AD19" s="49" t="n"/>
      <c r="AE19" s="115" t="n"/>
      <c r="AF19" s="83" t="n"/>
      <c r="AG19" s="49" t="n"/>
      <c r="AH19" s="49" t="n"/>
      <c r="AI19" s="115" t="n"/>
      <c r="AJ19" s="83" t="n"/>
      <c r="AK19" s="49" t="n"/>
      <c r="AL19" s="49" t="n"/>
      <c r="AM19" s="115" t="n"/>
      <c r="AN19" s="83" t="n"/>
      <c r="AO19" s="49" t="n"/>
      <c r="AP19" s="49" t="n"/>
      <c r="AQ19" s="117" t="n"/>
      <c r="AR19" s="83" t="n"/>
      <c r="AS19" s="49" t="n"/>
      <c r="AT19" s="49" t="n"/>
      <c r="AU19" s="115" t="n"/>
      <c r="AV19" s="83" t="n"/>
      <c r="AW19" s="49" t="n"/>
      <c r="AX19" s="49" t="n"/>
      <c r="AY19" s="115" t="n"/>
      <c r="AZ19" s="83" t="n"/>
      <c r="BA19" s="49" t="n"/>
      <c r="BB19" s="49" t="n"/>
      <c r="BC19" s="115" t="n"/>
      <c r="BD19" s="110">
        <f>SUM(K19,O19,S19,W19,AA19,AE19,AI19,AM19,AQ19,AU19,AY19,BC19)</f>
        <v/>
      </c>
      <c r="BE19" s="45" t="n"/>
      <c r="BF19" s="113" t="n"/>
      <c r="BG19" s="45" t="n"/>
      <c r="BH19" s="113" t="n"/>
      <c r="BI19" s="45" t="n"/>
      <c r="BJ19" s="113" t="n"/>
      <c r="BK19" s="45" t="n"/>
      <c r="BL19" s="113" t="n"/>
      <c r="BM19" s="45" t="n"/>
      <c r="BN19" s="113" t="n"/>
      <c r="BO19" s="114">
        <f>SUM(BF19,BH19,BJ19,BL19,BN19)</f>
        <v/>
      </c>
      <c r="BP19" s="45" t="n"/>
      <c r="BQ19" s="45" t="n"/>
      <c r="BR19" s="113" t="n"/>
      <c r="BS19" s="45" t="n"/>
      <c r="BT19" s="113" t="n"/>
      <c r="BU19" s="45" t="n"/>
      <c r="BV19" s="113" t="n"/>
      <c r="BW19" s="114">
        <f>SUM(BR19,BT19,BV19)</f>
        <v/>
      </c>
      <c r="BX19" s="45" t="n"/>
      <c r="BY19" s="114">
        <f>BD19 - IF(BP19="Y", 0, BO19) - IF(BX19="Y", 0, BW19)</f>
        <v/>
      </c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</row>
    <row r="20" ht="13.5" customHeight="1">
      <c r="B20" s="47">
        <f>$B$3</f>
        <v/>
      </c>
      <c r="C20" s="48">
        <f>$C$3</f>
        <v/>
      </c>
      <c r="D20" s="40">
        <f>IF(SUM(COUNTIF(H20, "*"), COUNTIF(L20, "*"), COUNTIF(P20, "*"), COUNTIF(T20, "*"), COUNTIF(X20, "*"), COUNTIF(AB20, "*"), COUNTIF(AF20, "*"), COUNTIF(AJ20, "*"), COUNTIF(AN20, "*"), COUNTIF(AR20, "*"), COUNTIF(AV20, "*"), COUNTIF(AZ20, "*"))&gt;0, "Y", "N")</f>
        <v/>
      </c>
      <c r="E20" s="49" t="n"/>
      <c r="F20" s="49" t="n"/>
      <c r="G20" s="59" t="n">
        <v>46357</v>
      </c>
      <c r="H20" s="83" t="n"/>
      <c r="I20" s="49" t="n"/>
      <c r="J20" s="50" t="n"/>
      <c r="K20" s="115" t="n"/>
      <c r="L20" s="83" t="n"/>
      <c r="M20" s="49" t="n"/>
      <c r="N20" s="49" t="n"/>
      <c r="O20" s="115" t="n"/>
      <c r="P20" s="83" t="n"/>
      <c r="Q20" s="49" t="n"/>
      <c r="R20" s="49" t="n"/>
      <c r="S20" s="115" t="n"/>
      <c r="T20" s="83" t="n"/>
      <c r="U20" s="49" t="n"/>
      <c r="V20" s="49" t="n"/>
      <c r="W20" s="116" t="n"/>
      <c r="X20" s="83" t="n"/>
      <c r="Y20" s="49" t="n"/>
      <c r="Z20" s="49" t="n"/>
      <c r="AA20" s="115" t="n"/>
      <c r="AB20" s="83" t="n"/>
      <c r="AC20" s="49" t="n"/>
      <c r="AD20" s="49" t="n"/>
      <c r="AE20" s="115" t="n"/>
      <c r="AF20" s="83" t="n"/>
      <c r="AG20" s="49" t="n"/>
      <c r="AH20" s="49" t="n"/>
      <c r="AI20" s="115" t="n"/>
      <c r="AJ20" s="83" t="n"/>
      <c r="AK20" s="49" t="n"/>
      <c r="AL20" s="49" t="n"/>
      <c r="AM20" s="115" t="n"/>
      <c r="AN20" s="83" t="n"/>
      <c r="AO20" s="49" t="n"/>
      <c r="AP20" s="49" t="n"/>
      <c r="AQ20" s="117" t="n"/>
      <c r="AR20" s="83" t="n"/>
      <c r="AS20" s="49" t="n"/>
      <c r="AT20" s="49" t="n"/>
      <c r="AU20" s="115" t="n"/>
      <c r="AV20" s="83" t="n"/>
      <c r="AW20" s="49" t="n"/>
      <c r="AX20" s="49" t="n"/>
      <c r="AY20" s="115" t="n"/>
      <c r="AZ20" s="83" t="n"/>
      <c r="BA20" s="49" t="n"/>
      <c r="BB20" s="49" t="n"/>
      <c r="BC20" s="115" t="n"/>
      <c r="BD20" s="110">
        <f>SUM(K20,O20,S20,W20,AA20,AE20,AI20,AM20,AQ20,AU20,AY20,BC20)</f>
        <v/>
      </c>
      <c r="BE20" s="45" t="n"/>
      <c r="BF20" s="113" t="n"/>
      <c r="BG20" s="45" t="n"/>
      <c r="BH20" s="113" t="n"/>
      <c r="BI20" s="45" t="n"/>
      <c r="BJ20" s="113" t="n"/>
      <c r="BK20" s="45" t="n"/>
      <c r="BL20" s="113" t="n"/>
      <c r="BM20" s="45" t="n"/>
      <c r="BN20" s="113" t="n"/>
      <c r="BO20" s="114">
        <f>SUM(BF20,BH20,BJ20,BL20,BN20)</f>
        <v/>
      </c>
      <c r="BP20" s="45" t="n"/>
      <c r="BQ20" s="45" t="n"/>
      <c r="BR20" s="113" t="n"/>
      <c r="BS20" s="45" t="n"/>
      <c r="BT20" s="113" t="n"/>
      <c r="BU20" s="45" t="n"/>
      <c r="BV20" s="113" t="n"/>
      <c r="BW20" s="114">
        <f>SUM(BR20,BT20,BV20)</f>
        <v/>
      </c>
      <c r="BX20" s="45" t="n"/>
      <c r="BY20" s="114">
        <f>BD20 - IF(BP20="Y", 0, BO20) - IF(BX20="Y", 0, BW20)</f>
        <v/>
      </c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</row>
    <row r="21" ht="13.5" customHeight="1">
      <c r="B21" s="47">
        <f>$B$3</f>
        <v/>
      </c>
      <c r="C21" s="48">
        <f>$C$3</f>
        <v/>
      </c>
      <c r="D21" s="40">
        <f>IF(SUM(COUNTIF(H21, "*"), COUNTIF(L21, "*"), COUNTIF(P21, "*"), COUNTIF(T21, "*"), COUNTIF(X21, "*"), COUNTIF(AB21, "*"), COUNTIF(AF21, "*"), COUNTIF(AJ21, "*"), COUNTIF(AN21, "*"), COUNTIF(AR21, "*"), COUNTIF(AV21, "*"), COUNTIF(AZ21, "*"))&gt;0, "Y", "N")</f>
        <v/>
      </c>
      <c r="E21" s="49" t="n"/>
      <c r="F21" s="49" t="n"/>
      <c r="G21" s="59" t="n">
        <v>46388</v>
      </c>
      <c r="H21" s="83" t="n"/>
      <c r="I21" s="49" t="n"/>
      <c r="J21" s="50" t="n"/>
      <c r="K21" s="115" t="n"/>
      <c r="L21" s="83" t="n"/>
      <c r="M21" s="49" t="n"/>
      <c r="N21" s="49" t="n"/>
      <c r="O21" s="115" t="n"/>
      <c r="P21" s="83" t="n"/>
      <c r="Q21" s="49" t="n"/>
      <c r="R21" s="49" t="n"/>
      <c r="S21" s="115" t="n"/>
      <c r="T21" s="83" t="n"/>
      <c r="U21" s="49" t="n"/>
      <c r="V21" s="49" t="n"/>
      <c r="W21" s="116" t="n"/>
      <c r="X21" s="83" t="n"/>
      <c r="Y21" s="49" t="n"/>
      <c r="Z21" s="49" t="n"/>
      <c r="AA21" s="115" t="n"/>
      <c r="AB21" s="83" t="n"/>
      <c r="AC21" s="49" t="n"/>
      <c r="AD21" s="49" t="n"/>
      <c r="AE21" s="115" t="n"/>
      <c r="AF21" s="83" t="n"/>
      <c r="AG21" s="49" t="n"/>
      <c r="AH21" s="49" t="n"/>
      <c r="AI21" s="115" t="n"/>
      <c r="AJ21" s="83" t="n"/>
      <c r="AK21" s="49" t="n"/>
      <c r="AL21" s="49" t="n"/>
      <c r="AM21" s="115" t="n"/>
      <c r="AN21" s="83" t="n"/>
      <c r="AO21" s="49" t="n"/>
      <c r="AP21" s="49" t="n"/>
      <c r="AQ21" s="117" t="n"/>
      <c r="AR21" s="83" t="n"/>
      <c r="AS21" s="49" t="n"/>
      <c r="AT21" s="49" t="n"/>
      <c r="AU21" s="115" t="n"/>
      <c r="AV21" s="83" t="n"/>
      <c r="AW21" s="49" t="n"/>
      <c r="AX21" s="49" t="n"/>
      <c r="AY21" s="115" t="n"/>
      <c r="AZ21" s="83" t="n"/>
      <c r="BA21" s="49" t="n"/>
      <c r="BB21" s="49" t="n"/>
      <c r="BC21" s="115" t="n"/>
      <c r="BD21" s="110">
        <f>SUM(K21,O21,S21,W21,AA21,AE21,AI21,AM21,AQ21,AU21,AY21,BC21)</f>
        <v/>
      </c>
      <c r="BE21" s="45" t="n"/>
      <c r="BF21" s="113" t="n"/>
      <c r="BG21" s="45" t="n"/>
      <c r="BH21" s="113" t="n"/>
      <c r="BI21" s="45" t="n"/>
      <c r="BJ21" s="113" t="n"/>
      <c r="BK21" s="45" t="n"/>
      <c r="BL21" s="113" t="n"/>
      <c r="BM21" s="45" t="n"/>
      <c r="BN21" s="113" t="n"/>
      <c r="BO21" s="114">
        <f>SUM(BF21,BH21,BJ21,BL21,BN21)</f>
        <v/>
      </c>
      <c r="BP21" s="45" t="n"/>
      <c r="BQ21" s="45" t="n"/>
      <c r="BR21" s="113" t="n"/>
      <c r="BS21" s="45" t="n"/>
      <c r="BT21" s="113" t="n"/>
      <c r="BU21" s="45" t="n"/>
      <c r="BV21" s="113" t="n"/>
      <c r="BW21" s="114">
        <f>SUM(BR21,BT21,BV21)</f>
        <v/>
      </c>
      <c r="BX21" s="45" t="n"/>
      <c r="BY21" s="114">
        <f>BD21 - IF(BP21="Y", 0, BO21) - IF(BX21="Y", 0, BW21)</f>
        <v/>
      </c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</row>
    <row r="22" ht="13.5" customHeight="1">
      <c r="B22" s="47">
        <f>$B$3</f>
        <v/>
      </c>
      <c r="C22" s="48">
        <f>$C$3</f>
        <v/>
      </c>
      <c r="D22" s="40">
        <f>IF(SUM(COUNTIF(H22, "*"), COUNTIF(L22, "*"), COUNTIF(P22, "*"), COUNTIF(T22, "*"), COUNTIF(X22, "*"), COUNTIF(AB22, "*"), COUNTIF(AF22, "*"), COUNTIF(AJ22, "*"), COUNTIF(AN22, "*"), COUNTIF(AR22, "*"), COUNTIF(AV22, "*"), COUNTIF(AZ22, "*"))&gt;0, "Y", "N")</f>
        <v/>
      </c>
      <c r="E22" s="49" t="n"/>
      <c r="F22" s="49" t="n"/>
      <c r="G22" s="59" t="n">
        <v>46419</v>
      </c>
      <c r="H22" s="83" t="n"/>
      <c r="I22" s="49" t="n"/>
      <c r="J22" s="50" t="n"/>
      <c r="K22" s="115" t="n"/>
      <c r="L22" s="83" t="n"/>
      <c r="M22" s="49" t="n"/>
      <c r="N22" s="49" t="n"/>
      <c r="O22" s="115" t="n"/>
      <c r="P22" s="83" t="n"/>
      <c r="Q22" s="49" t="n"/>
      <c r="R22" s="49" t="n"/>
      <c r="S22" s="115" t="n"/>
      <c r="T22" s="83" t="n"/>
      <c r="U22" s="49" t="n"/>
      <c r="V22" s="49" t="n"/>
      <c r="W22" s="116" t="n"/>
      <c r="X22" s="83" t="n"/>
      <c r="Y22" s="49" t="n"/>
      <c r="Z22" s="49" t="n"/>
      <c r="AA22" s="115" t="n"/>
      <c r="AB22" s="83" t="n"/>
      <c r="AC22" s="49" t="n"/>
      <c r="AD22" s="49" t="n"/>
      <c r="AE22" s="115" t="n"/>
      <c r="AF22" s="83" t="n"/>
      <c r="AG22" s="49" t="n"/>
      <c r="AH22" s="49" t="n"/>
      <c r="AI22" s="115" t="n"/>
      <c r="AJ22" s="83" t="n"/>
      <c r="AK22" s="49" t="n"/>
      <c r="AL22" s="49" t="n"/>
      <c r="AM22" s="115" t="n"/>
      <c r="AN22" s="83" t="n"/>
      <c r="AO22" s="49" t="n"/>
      <c r="AP22" s="49" t="n"/>
      <c r="AQ22" s="117" t="n"/>
      <c r="AR22" s="83" t="n"/>
      <c r="AS22" s="49" t="n"/>
      <c r="AT22" s="49" t="n"/>
      <c r="AU22" s="115" t="n"/>
      <c r="AV22" s="83" t="n"/>
      <c r="AW22" s="49" t="n"/>
      <c r="AX22" s="49" t="n"/>
      <c r="AY22" s="115" t="n"/>
      <c r="AZ22" s="83" t="n"/>
      <c r="BA22" s="49" t="n"/>
      <c r="BB22" s="49" t="n"/>
      <c r="BC22" s="115" t="n"/>
      <c r="BD22" s="110">
        <f>SUM(K22,O22,S22,W22,AA22,AE22,AI22,AM22,AQ22,AU22,AY22,BC22)</f>
        <v/>
      </c>
      <c r="BE22" s="45" t="n"/>
      <c r="BF22" s="113" t="n"/>
      <c r="BG22" s="45" t="n"/>
      <c r="BH22" s="113" t="n"/>
      <c r="BI22" s="45" t="n"/>
      <c r="BJ22" s="113" t="n"/>
      <c r="BK22" s="45" t="n"/>
      <c r="BL22" s="113" t="n"/>
      <c r="BM22" s="45" t="n"/>
      <c r="BN22" s="113" t="n"/>
      <c r="BO22" s="114">
        <f>SUM(BF22,BH22,BJ22,BL22,BN22)</f>
        <v/>
      </c>
      <c r="BP22" s="45" t="n"/>
      <c r="BQ22" s="45" t="n"/>
      <c r="BR22" s="113" t="n"/>
      <c r="BS22" s="45" t="n"/>
      <c r="BT22" s="113" t="n"/>
      <c r="BU22" s="45" t="n"/>
      <c r="BV22" s="113" t="n"/>
      <c r="BW22" s="114">
        <f>SUM(BR22,BT22,BV22)</f>
        <v/>
      </c>
      <c r="BX22" s="45" t="n"/>
      <c r="BY22" s="114">
        <f>BD22 - IF(BP22="Y", 0, BO22) - IF(BX22="Y", 0, BW22)</f>
        <v/>
      </c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</row>
    <row r="23" ht="13.5" customHeight="1">
      <c r="B23" s="47">
        <f>$B$3</f>
        <v/>
      </c>
      <c r="C23" s="48">
        <f>$C$3</f>
        <v/>
      </c>
      <c r="D23" s="40">
        <f>IF(SUM(COUNTIF(H23, "*"), COUNTIF(L23, "*"), COUNTIF(P23, "*"), COUNTIF(T23, "*"), COUNTIF(X23, "*"), COUNTIF(AB23, "*"), COUNTIF(AF23, "*"), COUNTIF(AJ23, "*"), COUNTIF(AN23, "*"), COUNTIF(AR23, "*"), COUNTIF(AV23, "*"), COUNTIF(AZ23, "*"))&gt;0, "Y", "N")</f>
        <v/>
      </c>
      <c r="E23" s="49" t="n"/>
      <c r="F23" s="49" t="n"/>
      <c r="G23" s="59" t="n">
        <v>46447</v>
      </c>
      <c r="H23" s="83" t="n"/>
      <c r="I23" s="49" t="n"/>
      <c r="J23" s="50" t="n"/>
      <c r="K23" s="115" t="n"/>
      <c r="L23" s="83" t="n"/>
      <c r="M23" s="49" t="n"/>
      <c r="N23" s="49" t="n"/>
      <c r="O23" s="115" t="n"/>
      <c r="P23" s="83" t="n"/>
      <c r="Q23" s="49" t="n"/>
      <c r="R23" s="49" t="n"/>
      <c r="S23" s="115" t="n"/>
      <c r="T23" s="83" t="n"/>
      <c r="U23" s="49" t="n"/>
      <c r="V23" s="49" t="n"/>
      <c r="W23" s="116" t="n"/>
      <c r="X23" s="83" t="n"/>
      <c r="Y23" s="49" t="n"/>
      <c r="Z23" s="49" t="n"/>
      <c r="AA23" s="115" t="n"/>
      <c r="AB23" s="83" t="n"/>
      <c r="AC23" s="49" t="n"/>
      <c r="AD23" s="49" t="n"/>
      <c r="AE23" s="115" t="n"/>
      <c r="AF23" s="83" t="n"/>
      <c r="AG23" s="49" t="n"/>
      <c r="AH23" s="49" t="n"/>
      <c r="AI23" s="115" t="n"/>
      <c r="AJ23" s="83" t="n"/>
      <c r="AK23" s="49" t="n"/>
      <c r="AL23" s="49" t="n"/>
      <c r="AM23" s="115" t="n"/>
      <c r="AN23" s="83" t="n"/>
      <c r="AO23" s="49" t="n"/>
      <c r="AP23" s="49" t="n"/>
      <c r="AQ23" s="117" t="n"/>
      <c r="AR23" s="83" t="n"/>
      <c r="AS23" s="49" t="n"/>
      <c r="AT23" s="49" t="n"/>
      <c r="AU23" s="115" t="n"/>
      <c r="AV23" s="83" t="n"/>
      <c r="AW23" s="49" t="n"/>
      <c r="AX23" s="49" t="n"/>
      <c r="AY23" s="115" t="n"/>
      <c r="AZ23" s="83" t="n"/>
      <c r="BA23" s="49" t="n"/>
      <c r="BB23" s="49" t="n"/>
      <c r="BC23" s="115" t="n"/>
      <c r="BD23" s="110">
        <f>SUM(K23,O23,S23,W23,AA23,AE23,AI23,AM23,AQ23,AU23,AY23,BC23)</f>
        <v/>
      </c>
      <c r="BE23" s="45" t="n"/>
      <c r="BF23" s="113" t="n"/>
      <c r="BG23" s="45" t="n"/>
      <c r="BH23" s="113" t="n"/>
      <c r="BI23" s="45" t="n"/>
      <c r="BJ23" s="113" t="n"/>
      <c r="BK23" s="45" t="n"/>
      <c r="BL23" s="113" t="n"/>
      <c r="BM23" s="45" t="n"/>
      <c r="BN23" s="113" t="n"/>
      <c r="BO23" s="114">
        <f>SUM(BF23,BH23,BJ23,BL23,BN23)</f>
        <v/>
      </c>
      <c r="BP23" s="45" t="n"/>
      <c r="BQ23" s="45" t="n"/>
      <c r="BR23" s="113" t="n"/>
      <c r="BS23" s="45" t="n"/>
      <c r="BT23" s="113" t="n"/>
      <c r="BU23" s="45" t="n"/>
      <c r="BV23" s="113" t="n"/>
      <c r="BW23" s="114">
        <f>SUM(BR23,BT23,BV23)</f>
        <v/>
      </c>
      <c r="BX23" s="45" t="n"/>
      <c r="BY23" s="114">
        <f>BD23 - IF(BP23="Y", 0, BO23) - IF(BX23="Y", 0, BW23)</f>
        <v/>
      </c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</row>
    <row r="24" ht="13.5" customHeight="1">
      <c r="B24" s="47">
        <f>$B$3</f>
        <v/>
      </c>
      <c r="C24" s="48">
        <f>$C$3</f>
        <v/>
      </c>
      <c r="D24" s="40">
        <f>IF(SUM(COUNTIF(H24, "*"), COUNTIF(L24, "*"), COUNTIF(P24, "*"), COUNTIF(T24, "*"), COUNTIF(X24, "*"), COUNTIF(AB24, "*"), COUNTIF(AF24, "*"), COUNTIF(AJ24, "*"), COUNTIF(AN24, "*"), COUNTIF(AR24, "*"), COUNTIF(AV24, "*"), COUNTIF(AZ24, "*"))&gt;0, "Y", "N")</f>
        <v/>
      </c>
      <c r="E24" s="49" t="n"/>
      <c r="F24" s="49" t="n"/>
      <c r="G24" s="59" t="n">
        <v>46478</v>
      </c>
      <c r="H24" s="83" t="n"/>
      <c r="I24" s="49" t="n"/>
      <c r="J24" s="50" t="n"/>
      <c r="K24" s="115" t="n"/>
      <c r="L24" s="83" t="n"/>
      <c r="M24" s="49" t="n"/>
      <c r="N24" s="49" t="n"/>
      <c r="O24" s="115" t="n"/>
      <c r="P24" s="83" t="n"/>
      <c r="Q24" s="49" t="n"/>
      <c r="R24" s="49" t="n"/>
      <c r="S24" s="115" t="n"/>
      <c r="T24" s="83" t="n"/>
      <c r="U24" s="49" t="n"/>
      <c r="V24" s="49" t="n"/>
      <c r="W24" s="116" t="n"/>
      <c r="X24" s="83" t="n"/>
      <c r="Y24" s="49" t="n"/>
      <c r="Z24" s="49" t="n"/>
      <c r="AA24" s="115" t="n"/>
      <c r="AB24" s="83" t="n"/>
      <c r="AC24" s="49" t="n"/>
      <c r="AD24" s="49" t="n"/>
      <c r="AE24" s="115" t="n"/>
      <c r="AF24" s="83" t="n"/>
      <c r="AG24" s="49" t="n"/>
      <c r="AH24" s="49" t="n"/>
      <c r="AI24" s="115" t="n"/>
      <c r="AJ24" s="83" t="n"/>
      <c r="AK24" s="49" t="n"/>
      <c r="AL24" s="49" t="n"/>
      <c r="AM24" s="115" t="n"/>
      <c r="AN24" s="83" t="n"/>
      <c r="AO24" s="49" t="n"/>
      <c r="AP24" s="49" t="n"/>
      <c r="AQ24" s="117" t="n"/>
      <c r="AR24" s="83" t="n"/>
      <c r="AS24" s="49" t="n"/>
      <c r="AT24" s="49" t="n"/>
      <c r="AU24" s="115" t="n"/>
      <c r="AV24" s="83" t="n"/>
      <c r="AW24" s="49" t="n"/>
      <c r="AX24" s="49" t="n"/>
      <c r="AY24" s="115" t="n"/>
      <c r="AZ24" s="83" t="n"/>
      <c r="BA24" s="49" t="n"/>
      <c r="BB24" s="49" t="n"/>
      <c r="BC24" s="115" t="n"/>
      <c r="BD24" s="110">
        <f>SUM(K24,O24,S24,W24,AA24,AE24,AI24,AM24,AQ24,AU24,AY24,BC24)</f>
        <v/>
      </c>
      <c r="BE24" s="45" t="n"/>
      <c r="BF24" s="113" t="n"/>
      <c r="BG24" s="45" t="n"/>
      <c r="BH24" s="113" t="n"/>
      <c r="BI24" s="45" t="n"/>
      <c r="BJ24" s="113" t="n"/>
      <c r="BK24" s="45" t="n"/>
      <c r="BL24" s="113" t="n"/>
      <c r="BM24" s="45" t="n"/>
      <c r="BN24" s="113" t="n"/>
      <c r="BO24" s="114">
        <f>SUM(BF24,BH24,BJ24,BL24,BN24)</f>
        <v/>
      </c>
      <c r="BP24" s="45" t="n"/>
      <c r="BQ24" s="45" t="n"/>
      <c r="BR24" s="113" t="n"/>
      <c r="BS24" s="45" t="n"/>
      <c r="BT24" s="113" t="n"/>
      <c r="BU24" s="45" t="n"/>
      <c r="BV24" s="113" t="n"/>
      <c r="BW24" s="114">
        <f>SUM(BR24,BT24,BV24)</f>
        <v/>
      </c>
      <c r="BX24" s="45" t="n"/>
      <c r="BY24" s="114">
        <f>BD24 - IF(BP24="Y", 0, BO24) - IF(BX24="Y", 0, BW24)</f>
        <v/>
      </c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</row>
    <row r="25" ht="13.5" customHeight="1">
      <c r="B25" s="47">
        <f>$B$3</f>
        <v/>
      </c>
      <c r="C25" s="48">
        <f>$C$3</f>
        <v/>
      </c>
      <c r="D25" s="40">
        <f>IF(SUM(COUNTIF(H25, "*"), COUNTIF(L25, "*"), COUNTIF(P25, "*"), COUNTIF(T25, "*"), COUNTIF(X25, "*"), COUNTIF(AB25, "*"), COUNTIF(AF25, "*"), COUNTIF(AJ25, "*"), COUNTIF(AN25, "*"), COUNTIF(AR25, "*"), COUNTIF(AV25, "*"), COUNTIF(AZ25, "*"))&gt;0, "Y", "N")</f>
        <v/>
      </c>
      <c r="E25" s="49" t="n"/>
      <c r="F25" s="49" t="n"/>
      <c r="G25" s="59" t="n">
        <v>46508</v>
      </c>
      <c r="H25" s="83" t="n"/>
      <c r="I25" s="49" t="n"/>
      <c r="J25" s="50" t="n"/>
      <c r="K25" s="115" t="n"/>
      <c r="L25" s="83" t="n"/>
      <c r="M25" s="49" t="n"/>
      <c r="N25" s="49" t="n"/>
      <c r="O25" s="115" t="n"/>
      <c r="P25" s="83" t="n"/>
      <c r="Q25" s="49" t="n"/>
      <c r="R25" s="49" t="n"/>
      <c r="S25" s="115" t="n"/>
      <c r="T25" s="83" t="n"/>
      <c r="U25" s="49" t="n"/>
      <c r="V25" s="49" t="n"/>
      <c r="W25" s="116" t="n"/>
      <c r="X25" s="83" t="n"/>
      <c r="Y25" s="49" t="n"/>
      <c r="Z25" s="49" t="n"/>
      <c r="AA25" s="115" t="n"/>
      <c r="AB25" s="83" t="n"/>
      <c r="AC25" s="49" t="n"/>
      <c r="AD25" s="49" t="n"/>
      <c r="AE25" s="115" t="n"/>
      <c r="AF25" s="83" t="n"/>
      <c r="AG25" s="49" t="n"/>
      <c r="AH25" s="49" t="n"/>
      <c r="AI25" s="115" t="n"/>
      <c r="AJ25" s="83" t="n"/>
      <c r="AK25" s="49" t="n"/>
      <c r="AL25" s="49" t="n"/>
      <c r="AM25" s="115" t="n"/>
      <c r="AN25" s="83" t="n"/>
      <c r="AO25" s="49" t="n"/>
      <c r="AP25" s="49" t="n"/>
      <c r="AQ25" s="117" t="n"/>
      <c r="AR25" s="83" t="n"/>
      <c r="AS25" s="49" t="n"/>
      <c r="AT25" s="49" t="n"/>
      <c r="AU25" s="115" t="n"/>
      <c r="AV25" s="83" t="n"/>
      <c r="AW25" s="49" t="n"/>
      <c r="AX25" s="49" t="n"/>
      <c r="AY25" s="115" t="n"/>
      <c r="AZ25" s="83" t="n"/>
      <c r="BA25" s="49" t="n"/>
      <c r="BB25" s="49" t="n"/>
      <c r="BC25" s="115" t="n"/>
      <c r="BD25" s="110">
        <f>SUM(K25,O25,S25,W25,AA25,AE25,AI25,AM25,AQ25,AU25,AY25,BC25)</f>
        <v/>
      </c>
      <c r="BE25" s="45" t="n"/>
      <c r="BF25" s="113" t="n"/>
      <c r="BG25" s="45" t="n"/>
      <c r="BH25" s="113" t="n"/>
      <c r="BI25" s="45" t="n"/>
      <c r="BJ25" s="113" t="n"/>
      <c r="BK25" s="45" t="n"/>
      <c r="BL25" s="113" t="n"/>
      <c r="BM25" s="45" t="n"/>
      <c r="BN25" s="113" t="n"/>
      <c r="BO25" s="114">
        <f>SUM(BF25,BH25,BJ25,BL25,BN25)</f>
        <v/>
      </c>
      <c r="BP25" s="45" t="n"/>
      <c r="BQ25" s="45" t="n"/>
      <c r="BR25" s="113" t="n"/>
      <c r="BS25" s="45" t="n"/>
      <c r="BT25" s="113" t="n"/>
      <c r="BU25" s="45" t="n"/>
      <c r="BV25" s="113" t="n"/>
      <c r="BW25" s="114">
        <f>SUM(BR25,BT25,BV25)</f>
        <v/>
      </c>
      <c r="BX25" s="45" t="n"/>
      <c r="BY25" s="114">
        <f>BD25 - IF(BP25="Y", 0, BO25) - IF(BX25="Y", 0, BW25)</f>
        <v/>
      </c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</row>
    <row r="26" ht="13.5" customHeight="1">
      <c r="B26" s="47">
        <f>$B$3</f>
        <v/>
      </c>
      <c r="C26" s="48">
        <f>$C$3</f>
        <v/>
      </c>
      <c r="D26" s="40">
        <f>IF(SUM(COUNTIF(H26, "*"), COUNTIF(L26, "*"), COUNTIF(P26, "*"), COUNTIF(T26, "*"), COUNTIF(X26, "*"), COUNTIF(AB26, "*"), COUNTIF(AF26, "*"), COUNTIF(AJ26, "*"), COUNTIF(AN26, "*"), COUNTIF(AR26, "*"), COUNTIF(AV26, "*"), COUNTIF(AZ26, "*"))&gt;0, "Y", "N")</f>
        <v/>
      </c>
      <c r="E26" s="49" t="n"/>
      <c r="F26" s="49" t="n"/>
      <c r="G26" s="59" t="n">
        <v>46539</v>
      </c>
      <c r="H26" s="83" t="n"/>
      <c r="I26" s="49" t="n"/>
      <c r="J26" s="50" t="n"/>
      <c r="K26" s="115" t="n"/>
      <c r="L26" s="83" t="n"/>
      <c r="M26" s="49" t="n"/>
      <c r="N26" s="49" t="n"/>
      <c r="O26" s="115" t="n"/>
      <c r="P26" s="83" t="n"/>
      <c r="Q26" s="49" t="n"/>
      <c r="R26" s="49" t="n"/>
      <c r="S26" s="115" t="n"/>
      <c r="T26" s="83" t="n"/>
      <c r="U26" s="49" t="n"/>
      <c r="V26" s="49" t="n"/>
      <c r="W26" s="116" t="n"/>
      <c r="X26" s="83" t="n"/>
      <c r="Y26" s="49" t="n"/>
      <c r="Z26" s="49" t="n"/>
      <c r="AA26" s="115" t="n"/>
      <c r="AB26" s="83" t="n"/>
      <c r="AC26" s="49" t="n"/>
      <c r="AD26" s="49" t="n"/>
      <c r="AE26" s="115" t="n"/>
      <c r="AF26" s="83" t="n"/>
      <c r="AG26" s="49" t="n"/>
      <c r="AH26" s="49" t="n"/>
      <c r="AI26" s="115" t="n"/>
      <c r="AJ26" s="83" t="n"/>
      <c r="AK26" s="49" t="n"/>
      <c r="AL26" s="49" t="n"/>
      <c r="AM26" s="115" t="n"/>
      <c r="AN26" s="83" t="n"/>
      <c r="AO26" s="49" t="n"/>
      <c r="AP26" s="49" t="n"/>
      <c r="AQ26" s="117" t="n"/>
      <c r="AR26" s="83" t="n"/>
      <c r="AS26" s="49" t="n"/>
      <c r="AT26" s="49" t="n"/>
      <c r="AU26" s="115" t="n"/>
      <c r="AV26" s="83" t="n"/>
      <c r="AW26" s="49" t="n"/>
      <c r="AX26" s="49" t="n"/>
      <c r="AY26" s="115" t="n"/>
      <c r="AZ26" s="83" t="n"/>
      <c r="BA26" s="49" t="n"/>
      <c r="BB26" s="49" t="n"/>
      <c r="BC26" s="115" t="n"/>
      <c r="BD26" s="110">
        <f>SUM(K26,O26,S26,W26,AA26,AE26,AI26,AM26,AQ26,AU26,AY26,BC26)</f>
        <v/>
      </c>
      <c r="BE26" s="45" t="n"/>
      <c r="BF26" s="113" t="n"/>
      <c r="BG26" s="45" t="n"/>
      <c r="BH26" s="113" t="n"/>
      <c r="BI26" s="45" t="n"/>
      <c r="BJ26" s="113" t="n"/>
      <c r="BK26" s="45" t="n"/>
      <c r="BL26" s="113" t="n"/>
      <c r="BM26" s="45" t="n"/>
      <c r="BN26" s="113" t="n"/>
      <c r="BO26" s="114">
        <f>SUM(BF26,BH26,BJ26,BL26,BN26)</f>
        <v/>
      </c>
      <c r="BP26" s="45" t="n"/>
      <c r="BQ26" s="45" t="n"/>
      <c r="BR26" s="113" t="n"/>
      <c r="BS26" s="45" t="n"/>
      <c r="BT26" s="113" t="n"/>
      <c r="BU26" s="45" t="n"/>
      <c r="BV26" s="113" t="n"/>
      <c r="BW26" s="114">
        <f>SUM(BR26,BT26,BV26)</f>
        <v/>
      </c>
      <c r="BX26" s="45" t="n"/>
      <c r="BY26" s="114">
        <f>BD26 - IF(BP26="Y", 0, BO26) - IF(BX26="Y", 0, BW26)</f>
        <v/>
      </c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</row>
    <row r="27" ht="13.5" customHeight="1">
      <c r="B27" s="47">
        <f>$B$3</f>
        <v/>
      </c>
      <c r="C27" s="48">
        <f>$C$3</f>
        <v/>
      </c>
      <c r="D27" s="40">
        <f>IF(SUM(COUNTIF(H27, "*"), COUNTIF(L27, "*"), COUNTIF(P27, "*"), COUNTIF(T27, "*"), COUNTIF(X27, "*"), COUNTIF(AB27, "*"), COUNTIF(AF27, "*"), COUNTIF(AJ27, "*"), COUNTIF(AN27, "*"), COUNTIF(AR27, "*"), COUNTIF(AV27, "*"), COUNTIF(AZ27, "*"))&gt;0, "Y", "N")</f>
        <v/>
      </c>
      <c r="E27" s="49" t="n"/>
      <c r="F27" s="49" t="n"/>
      <c r="G27" s="59" t="n">
        <v>46569</v>
      </c>
      <c r="H27" s="83" t="n"/>
      <c r="I27" s="49" t="n"/>
      <c r="J27" s="50" t="n"/>
      <c r="K27" s="115" t="n"/>
      <c r="L27" s="83" t="n"/>
      <c r="M27" s="49" t="n"/>
      <c r="N27" s="49" t="n"/>
      <c r="O27" s="115" t="n"/>
      <c r="P27" s="83" t="n"/>
      <c r="Q27" s="49" t="n"/>
      <c r="R27" s="49" t="n"/>
      <c r="S27" s="115" t="n"/>
      <c r="T27" s="83" t="n"/>
      <c r="U27" s="49" t="n"/>
      <c r="V27" s="49" t="n"/>
      <c r="W27" s="116" t="n"/>
      <c r="X27" s="83" t="n"/>
      <c r="Y27" s="49" t="n"/>
      <c r="Z27" s="49" t="n"/>
      <c r="AA27" s="115" t="n"/>
      <c r="AB27" s="83" t="n"/>
      <c r="AC27" s="49" t="n"/>
      <c r="AD27" s="49" t="n"/>
      <c r="AE27" s="115" t="n"/>
      <c r="AF27" s="83" t="n"/>
      <c r="AG27" s="49" t="n"/>
      <c r="AH27" s="49" t="n"/>
      <c r="AI27" s="115" t="n"/>
      <c r="AJ27" s="83" t="n"/>
      <c r="AK27" s="49" t="n"/>
      <c r="AL27" s="49" t="n"/>
      <c r="AM27" s="115" t="n"/>
      <c r="AN27" s="83" t="n"/>
      <c r="AO27" s="49" t="n"/>
      <c r="AP27" s="49" t="n"/>
      <c r="AQ27" s="117" t="n"/>
      <c r="AR27" s="83" t="n"/>
      <c r="AS27" s="49" t="n"/>
      <c r="AT27" s="49" t="n"/>
      <c r="AU27" s="115" t="n"/>
      <c r="AV27" s="83" t="n"/>
      <c r="AW27" s="49" t="n"/>
      <c r="AX27" s="49" t="n"/>
      <c r="AY27" s="115" t="n"/>
      <c r="AZ27" s="83" t="n"/>
      <c r="BA27" s="49" t="n"/>
      <c r="BB27" s="49" t="n"/>
      <c r="BC27" s="115" t="n"/>
      <c r="BD27" s="110">
        <f>SUM(K27,O27,S27,W27,AA27,AE27,AI27,AM27,AQ27,AU27,AY27,BC27)</f>
        <v/>
      </c>
      <c r="BE27" s="45" t="n"/>
      <c r="BF27" s="113" t="n"/>
      <c r="BG27" s="45" t="n"/>
      <c r="BH27" s="113" t="n"/>
      <c r="BI27" s="45" t="n"/>
      <c r="BJ27" s="113" t="n"/>
      <c r="BK27" s="45" t="n"/>
      <c r="BL27" s="113" t="n"/>
      <c r="BM27" s="45" t="n"/>
      <c r="BN27" s="113" t="n"/>
      <c r="BO27" s="114">
        <f>SUM(BF27,BH27,BJ27,BL27,BN27)</f>
        <v/>
      </c>
      <c r="BP27" s="45" t="n"/>
      <c r="BQ27" s="45" t="n"/>
      <c r="BR27" s="113" t="n"/>
      <c r="BS27" s="45" t="n"/>
      <c r="BT27" s="113" t="n"/>
      <c r="BU27" s="45" t="n"/>
      <c r="BV27" s="113" t="n"/>
      <c r="BW27" s="114">
        <f>SUM(BR27,BT27,BV27)</f>
        <v/>
      </c>
      <c r="BX27" s="45" t="n"/>
      <c r="BY27" s="114">
        <f>BD27 - IF(BP27="Y", 0, BO27) - IF(BX27="Y", 0, BW27)</f>
        <v/>
      </c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</row>
    <row r="28" ht="13.5" customHeight="1">
      <c r="B28" s="47">
        <f>$B$3</f>
        <v/>
      </c>
      <c r="C28" s="48">
        <f>$C$3</f>
        <v/>
      </c>
      <c r="D28" s="40">
        <f>IF(SUM(COUNTIF(H28, "*"), COUNTIF(L28, "*"), COUNTIF(P28, "*"), COUNTIF(T28, "*"), COUNTIF(X28, "*"), COUNTIF(AB28, "*"), COUNTIF(AF28, "*"), COUNTIF(AJ28, "*"), COUNTIF(AN28, "*"), COUNTIF(AR28, "*"), COUNTIF(AV28, "*"), COUNTIF(AZ28, "*"))&gt;0, "Y", "N")</f>
        <v/>
      </c>
      <c r="E28" s="49" t="n"/>
      <c r="F28" s="49" t="n"/>
      <c r="G28" s="59" t="n">
        <v>46600</v>
      </c>
      <c r="H28" s="83" t="n"/>
      <c r="I28" s="49" t="n"/>
      <c r="J28" s="50" t="n"/>
      <c r="K28" s="115" t="n"/>
      <c r="L28" s="83" t="n"/>
      <c r="M28" s="49" t="n"/>
      <c r="N28" s="49" t="n"/>
      <c r="O28" s="115" t="n"/>
      <c r="P28" s="83" t="n"/>
      <c r="Q28" s="49" t="n"/>
      <c r="R28" s="49" t="n"/>
      <c r="S28" s="115" t="n"/>
      <c r="T28" s="83" t="n"/>
      <c r="U28" s="49" t="n"/>
      <c r="V28" s="49" t="n"/>
      <c r="W28" s="116" t="n"/>
      <c r="X28" s="83" t="n"/>
      <c r="Y28" s="49" t="n"/>
      <c r="Z28" s="49" t="n"/>
      <c r="AA28" s="115" t="n"/>
      <c r="AB28" s="83" t="n"/>
      <c r="AC28" s="49" t="n"/>
      <c r="AD28" s="49" t="n"/>
      <c r="AE28" s="115" t="n"/>
      <c r="AF28" s="83" t="n"/>
      <c r="AG28" s="49" t="n"/>
      <c r="AH28" s="49" t="n"/>
      <c r="AI28" s="115" t="n"/>
      <c r="AJ28" s="83" t="n"/>
      <c r="AK28" s="49" t="n"/>
      <c r="AL28" s="49" t="n"/>
      <c r="AM28" s="115" t="n"/>
      <c r="AN28" s="83" t="n"/>
      <c r="AO28" s="49" t="n"/>
      <c r="AP28" s="49" t="n"/>
      <c r="AQ28" s="117" t="n"/>
      <c r="AR28" s="83" t="n"/>
      <c r="AS28" s="49" t="n"/>
      <c r="AT28" s="49" t="n"/>
      <c r="AU28" s="115" t="n"/>
      <c r="AV28" s="83" t="n"/>
      <c r="AW28" s="49" t="n"/>
      <c r="AX28" s="49" t="n"/>
      <c r="AY28" s="115" t="n"/>
      <c r="AZ28" s="83" t="n"/>
      <c r="BA28" s="49" t="n"/>
      <c r="BB28" s="49" t="n"/>
      <c r="BC28" s="115" t="n"/>
      <c r="BD28" s="110">
        <f>SUM(K28,O28,S28,W28,AA28,AE28,AI28,AM28,AQ28,AU28,AY28,BC28)</f>
        <v/>
      </c>
      <c r="BE28" s="45" t="n"/>
      <c r="BF28" s="113" t="n"/>
      <c r="BG28" s="45" t="n"/>
      <c r="BH28" s="113" t="n"/>
      <c r="BI28" s="45" t="n"/>
      <c r="BJ28" s="113" t="n"/>
      <c r="BK28" s="45" t="n"/>
      <c r="BL28" s="113" t="n"/>
      <c r="BM28" s="45" t="n"/>
      <c r="BN28" s="113" t="n"/>
      <c r="BO28" s="114">
        <f>SUM(BF28,BH28,BJ28,BL28,BN28)</f>
        <v/>
      </c>
      <c r="BP28" s="45" t="n"/>
      <c r="BQ28" s="45" t="n"/>
      <c r="BR28" s="113" t="n"/>
      <c r="BS28" s="45" t="n"/>
      <c r="BT28" s="113" t="n"/>
      <c r="BU28" s="45" t="n"/>
      <c r="BV28" s="113" t="n"/>
      <c r="BW28" s="114">
        <f>SUM(BR28,BT28,BV28)</f>
        <v/>
      </c>
      <c r="BX28" s="45" t="n"/>
      <c r="BY28" s="114">
        <f>BD28 - IF(BP28="Y", 0, BO28) - IF(BX28="Y", 0, BW28)</f>
        <v/>
      </c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</row>
    <row r="29" ht="13.5" customHeight="1">
      <c r="B29" s="47">
        <f>$B$3</f>
        <v/>
      </c>
      <c r="C29" s="48">
        <f>$C$3</f>
        <v/>
      </c>
      <c r="D29" s="40">
        <f>IF(SUM(COUNTIF(H29, "*"), COUNTIF(L29, "*"), COUNTIF(P29, "*"), COUNTIF(T29, "*"), COUNTIF(X29, "*"), COUNTIF(AB29, "*"), COUNTIF(AF29, "*"), COUNTIF(AJ29, "*"), COUNTIF(AN29, "*"), COUNTIF(AR29, "*"), COUNTIF(AV29, "*"), COUNTIF(AZ29, "*"))&gt;0, "Y", "N")</f>
        <v/>
      </c>
      <c r="E29" s="49" t="n"/>
      <c r="F29" s="49" t="n"/>
      <c r="G29" s="59" t="n">
        <v>46631</v>
      </c>
      <c r="H29" s="83" t="n"/>
      <c r="I29" s="49" t="n"/>
      <c r="J29" s="50" t="n"/>
      <c r="K29" s="115" t="n"/>
      <c r="L29" s="83" t="n"/>
      <c r="M29" s="49" t="n"/>
      <c r="N29" s="49" t="n"/>
      <c r="O29" s="115" t="n"/>
      <c r="P29" s="83" t="n"/>
      <c r="Q29" s="49" t="n"/>
      <c r="R29" s="49" t="n"/>
      <c r="S29" s="115" t="n"/>
      <c r="T29" s="83" t="n"/>
      <c r="U29" s="49" t="n"/>
      <c r="V29" s="49" t="n"/>
      <c r="W29" s="116" t="n"/>
      <c r="X29" s="83" t="n"/>
      <c r="Y29" s="49" t="n"/>
      <c r="Z29" s="49" t="n"/>
      <c r="AA29" s="115" t="n"/>
      <c r="AB29" s="83" t="n"/>
      <c r="AC29" s="49" t="n"/>
      <c r="AD29" s="49" t="n"/>
      <c r="AE29" s="115" t="n"/>
      <c r="AF29" s="83" t="n"/>
      <c r="AG29" s="49" t="n"/>
      <c r="AH29" s="49" t="n"/>
      <c r="AI29" s="115" t="n"/>
      <c r="AJ29" s="83" t="n"/>
      <c r="AK29" s="49" t="n"/>
      <c r="AL29" s="49" t="n"/>
      <c r="AM29" s="115" t="n"/>
      <c r="AN29" s="83" t="n"/>
      <c r="AO29" s="49" t="n"/>
      <c r="AP29" s="49" t="n"/>
      <c r="AQ29" s="117" t="n"/>
      <c r="AR29" s="83" t="n"/>
      <c r="AS29" s="49" t="n"/>
      <c r="AT29" s="49" t="n"/>
      <c r="AU29" s="115" t="n"/>
      <c r="AV29" s="83" t="n"/>
      <c r="AW29" s="49" t="n"/>
      <c r="AX29" s="49" t="n"/>
      <c r="AY29" s="115" t="n"/>
      <c r="AZ29" s="83" t="n"/>
      <c r="BA29" s="49" t="n"/>
      <c r="BB29" s="49" t="n"/>
      <c r="BC29" s="115" t="n"/>
      <c r="BD29" s="110">
        <f>SUM(K29,O29,S29,W29,AA29,AE29,AI29,AM29,AQ29,AU29,AY29,BC29)</f>
        <v/>
      </c>
      <c r="BE29" s="45" t="n"/>
      <c r="BF29" s="113" t="n"/>
      <c r="BG29" s="45" t="n"/>
      <c r="BH29" s="113" t="n"/>
      <c r="BI29" s="45" t="n"/>
      <c r="BJ29" s="113" t="n"/>
      <c r="BK29" s="45" t="n"/>
      <c r="BL29" s="113" t="n"/>
      <c r="BM29" s="45" t="n"/>
      <c r="BN29" s="113" t="n"/>
      <c r="BO29" s="114">
        <f>SUM(BF29,BH29,BJ29,BL29,BN29)</f>
        <v/>
      </c>
      <c r="BP29" s="45" t="n"/>
      <c r="BQ29" s="45" t="n"/>
      <c r="BR29" s="113" t="n"/>
      <c r="BS29" s="45" t="n"/>
      <c r="BT29" s="113" t="n"/>
      <c r="BU29" s="45" t="n"/>
      <c r="BV29" s="113" t="n"/>
      <c r="BW29" s="114">
        <f>SUM(BR29,BT29,BV29)</f>
        <v/>
      </c>
      <c r="BX29" s="45" t="n"/>
      <c r="BY29" s="114">
        <f>BD29 - IF(BP29="Y", 0, BO29) - IF(BX29="Y", 0, BW29)</f>
        <v/>
      </c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</row>
    <row r="30" ht="13.5" customHeight="1">
      <c r="B30" s="47">
        <f>$B$3</f>
        <v/>
      </c>
      <c r="C30" s="48">
        <f>$C$3</f>
        <v/>
      </c>
      <c r="D30" s="40">
        <f>IF(SUM(COUNTIF(H30, "*"), COUNTIF(L30, "*"), COUNTIF(P30, "*"), COUNTIF(T30, "*"), COUNTIF(X30, "*"), COUNTIF(AB30, "*"), COUNTIF(AF30, "*"), COUNTIF(AJ30, "*"), COUNTIF(AN30, "*"), COUNTIF(AR30, "*"), COUNTIF(AV30, "*"), COUNTIF(AZ30, "*"))&gt;0, "Y", "N")</f>
        <v/>
      </c>
      <c r="E30" s="49" t="n"/>
      <c r="F30" s="49" t="n"/>
      <c r="G30" s="59" t="n">
        <v>46661</v>
      </c>
      <c r="H30" s="83" t="n"/>
      <c r="I30" s="49" t="n"/>
      <c r="J30" s="50" t="n"/>
      <c r="K30" s="115" t="n"/>
      <c r="L30" s="83" t="n"/>
      <c r="M30" s="49" t="n"/>
      <c r="N30" s="49" t="n"/>
      <c r="O30" s="115" t="n"/>
      <c r="P30" s="83" t="n"/>
      <c r="Q30" s="49" t="n"/>
      <c r="R30" s="49" t="n"/>
      <c r="S30" s="115" t="n"/>
      <c r="T30" s="83" t="n"/>
      <c r="U30" s="49" t="n"/>
      <c r="V30" s="49" t="n"/>
      <c r="W30" s="116" t="n"/>
      <c r="X30" s="83" t="n"/>
      <c r="Y30" s="49" t="n"/>
      <c r="Z30" s="49" t="n"/>
      <c r="AA30" s="115" t="n"/>
      <c r="AB30" s="83" t="n"/>
      <c r="AC30" s="49" t="n"/>
      <c r="AD30" s="49" t="n"/>
      <c r="AE30" s="115" t="n"/>
      <c r="AF30" s="83" t="n"/>
      <c r="AG30" s="49" t="n"/>
      <c r="AH30" s="49" t="n"/>
      <c r="AI30" s="115" t="n"/>
      <c r="AJ30" s="83" t="n"/>
      <c r="AK30" s="49" t="n"/>
      <c r="AL30" s="49" t="n"/>
      <c r="AM30" s="115" t="n"/>
      <c r="AN30" s="83" t="n"/>
      <c r="AO30" s="49" t="n"/>
      <c r="AP30" s="49" t="n"/>
      <c r="AQ30" s="117" t="n"/>
      <c r="AR30" s="83" t="n"/>
      <c r="AS30" s="49" t="n"/>
      <c r="AT30" s="49" t="n"/>
      <c r="AU30" s="115" t="n"/>
      <c r="AV30" s="83" t="n"/>
      <c r="AW30" s="49" t="n"/>
      <c r="AX30" s="49" t="n"/>
      <c r="AY30" s="115" t="n"/>
      <c r="AZ30" s="83" t="n"/>
      <c r="BA30" s="49" t="n"/>
      <c r="BB30" s="49" t="n"/>
      <c r="BC30" s="115" t="n"/>
      <c r="BD30" s="110">
        <f>SUM(K30,O30,S30,W30,AA30,AE30,AI30,AM30,AQ30,AU30,AY30,BC30)</f>
        <v/>
      </c>
      <c r="BE30" s="45" t="n"/>
      <c r="BF30" s="113" t="n"/>
      <c r="BG30" s="45" t="n"/>
      <c r="BH30" s="113" t="n"/>
      <c r="BI30" s="45" t="n"/>
      <c r="BJ30" s="113" t="n"/>
      <c r="BK30" s="45" t="n"/>
      <c r="BL30" s="113" t="n"/>
      <c r="BM30" s="45" t="n"/>
      <c r="BN30" s="113" t="n"/>
      <c r="BO30" s="114">
        <f>SUM(BF30,BH30,BJ30,BL30,BN30)</f>
        <v/>
      </c>
      <c r="BP30" s="45" t="n"/>
      <c r="BQ30" s="45" t="n"/>
      <c r="BR30" s="113" t="n"/>
      <c r="BS30" s="45" t="n"/>
      <c r="BT30" s="113" t="n"/>
      <c r="BU30" s="45" t="n"/>
      <c r="BV30" s="113" t="n"/>
      <c r="BW30" s="114">
        <f>SUM(BR30,BT30,BV30)</f>
        <v/>
      </c>
      <c r="BX30" s="45" t="n"/>
      <c r="BY30" s="114">
        <f>BD30 - IF(BP30="Y", 0, BO30) - IF(BX30="Y", 0, BW30)</f>
        <v/>
      </c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</row>
    <row r="31" ht="13.5" customHeight="1">
      <c r="B31" s="47">
        <f>$B$3</f>
        <v/>
      </c>
      <c r="C31" s="48">
        <f>$C$3</f>
        <v/>
      </c>
      <c r="D31" s="40">
        <f>IF(SUM(COUNTIF(H31, "*"), COUNTIF(L31, "*"), COUNTIF(P31, "*"), COUNTIF(T31, "*"), COUNTIF(X31, "*"), COUNTIF(AB31, "*"), COUNTIF(AF31, "*"), COUNTIF(AJ31, "*"), COUNTIF(AN31, "*"), COUNTIF(AR31, "*"), COUNTIF(AV31, "*"), COUNTIF(AZ31, "*"))&gt;0, "Y", "N")</f>
        <v/>
      </c>
      <c r="E31" s="49" t="n"/>
      <c r="F31" s="49" t="n"/>
      <c r="G31" s="59" t="n">
        <v>46692</v>
      </c>
      <c r="H31" s="83" t="n"/>
      <c r="I31" s="49" t="n"/>
      <c r="J31" s="50" t="n"/>
      <c r="K31" s="115" t="n"/>
      <c r="L31" s="83" t="n"/>
      <c r="M31" s="49" t="n"/>
      <c r="N31" s="49" t="n"/>
      <c r="O31" s="115" t="n"/>
      <c r="P31" s="83" t="n"/>
      <c r="Q31" s="49" t="n"/>
      <c r="R31" s="49" t="n"/>
      <c r="S31" s="115" t="n"/>
      <c r="T31" s="83" t="n"/>
      <c r="U31" s="49" t="n"/>
      <c r="V31" s="49" t="n"/>
      <c r="W31" s="116" t="n"/>
      <c r="X31" s="83" t="n"/>
      <c r="Y31" s="49" t="n"/>
      <c r="Z31" s="49" t="n"/>
      <c r="AA31" s="115" t="n"/>
      <c r="AB31" s="83" t="n"/>
      <c r="AC31" s="49" t="n"/>
      <c r="AD31" s="49" t="n"/>
      <c r="AE31" s="115" t="n"/>
      <c r="AF31" s="83" t="n"/>
      <c r="AG31" s="49" t="n"/>
      <c r="AH31" s="49" t="n"/>
      <c r="AI31" s="115" t="n"/>
      <c r="AJ31" s="83" t="n"/>
      <c r="AK31" s="49" t="n"/>
      <c r="AL31" s="49" t="n"/>
      <c r="AM31" s="115" t="n"/>
      <c r="AN31" s="83" t="n"/>
      <c r="AO31" s="49" t="n"/>
      <c r="AP31" s="49" t="n"/>
      <c r="AQ31" s="117" t="n"/>
      <c r="AR31" s="83" t="n"/>
      <c r="AS31" s="49" t="n"/>
      <c r="AT31" s="49" t="n"/>
      <c r="AU31" s="115" t="n"/>
      <c r="AV31" s="83" t="n"/>
      <c r="AW31" s="49" t="n"/>
      <c r="AX31" s="49" t="n"/>
      <c r="AY31" s="115" t="n"/>
      <c r="AZ31" s="83" t="n"/>
      <c r="BA31" s="49" t="n"/>
      <c r="BB31" s="49" t="n"/>
      <c r="BC31" s="115" t="n"/>
      <c r="BD31" s="110">
        <f>SUM(K31,O31,S31,W31,AA31,AE31,AI31,AM31,AQ31,AU31,AY31,BC31)</f>
        <v/>
      </c>
      <c r="BE31" s="45" t="n"/>
      <c r="BF31" s="113" t="n"/>
      <c r="BG31" s="45" t="n"/>
      <c r="BH31" s="113" t="n"/>
      <c r="BI31" s="45" t="n"/>
      <c r="BJ31" s="113" t="n"/>
      <c r="BK31" s="45" t="n"/>
      <c r="BL31" s="113" t="n"/>
      <c r="BM31" s="45" t="n"/>
      <c r="BN31" s="113" t="n"/>
      <c r="BO31" s="114">
        <f>SUM(BF31,BH31,BJ31,BL31,BN31)</f>
        <v/>
      </c>
      <c r="BP31" s="45" t="n"/>
      <c r="BQ31" s="45" t="n"/>
      <c r="BR31" s="113" t="n"/>
      <c r="BS31" s="45" t="n"/>
      <c r="BT31" s="113" t="n"/>
      <c r="BU31" s="45" t="n"/>
      <c r="BV31" s="113" t="n"/>
      <c r="BW31" s="114">
        <f>SUM(BR31,BT31,BV31)</f>
        <v/>
      </c>
      <c r="BX31" s="45" t="n"/>
      <c r="BY31" s="114">
        <f>BD31 - IF(BP31="Y", 0, BO31) - IF(BX31="Y", 0, BW31)</f>
        <v/>
      </c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</row>
    <row r="32" ht="13.5" customHeight="1">
      <c r="B32" s="47">
        <f>$B$3</f>
        <v/>
      </c>
      <c r="C32" s="48">
        <f>$C$3</f>
        <v/>
      </c>
      <c r="D32" s="40">
        <f>IF(SUM(COUNTIF(H32, "*"), COUNTIF(L32, "*"), COUNTIF(P32, "*"), COUNTIF(T32, "*"), COUNTIF(X32, "*"), COUNTIF(AB32, "*"), COUNTIF(AF32, "*"), COUNTIF(AJ32, "*"), COUNTIF(AN32, "*"), COUNTIF(AR32, "*"), COUNTIF(AV32, "*"), COUNTIF(AZ32, "*"))&gt;0, "Y", "N")</f>
        <v/>
      </c>
      <c r="E32" s="49" t="n"/>
      <c r="F32" s="49" t="n"/>
      <c r="G32" s="59" t="n">
        <v>46722</v>
      </c>
      <c r="H32" s="83" t="n"/>
      <c r="I32" s="49" t="n"/>
      <c r="J32" s="50" t="n"/>
      <c r="K32" s="115" t="n"/>
      <c r="L32" s="83" t="n"/>
      <c r="M32" s="49" t="n"/>
      <c r="N32" s="49" t="n"/>
      <c r="O32" s="115" t="n"/>
      <c r="P32" s="83" t="n"/>
      <c r="Q32" s="49" t="n"/>
      <c r="R32" s="49" t="n"/>
      <c r="S32" s="115" t="n"/>
      <c r="T32" s="83" t="n"/>
      <c r="U32" s="49" t="n"/>
      <c r="V32" s="49" t="n"/>
      <c r="W32" s="116" t="n"/>
      <c r="X32" s="83" t="n"/>
      <c r="Y32" s="49" t="n"/>
      <c r="Z32" s="49" t="n"/>
      <c r="AA32" s="115" t="n"/>
      <c r="AB32" s="83" t="n"/>
      <c r="AC32" s="49" t="n"/>
      <c r="AD32" s="49" t="n"/>
      <c r="AE32" s="115" t="n"/>
      <c r="AF32" s="83" t="n"/>
      <c r="AG32" s="49" t="n"/>
      <c r="AH32" s="49" t="n"/>
      <c r="AI32" s="115" t="n"/>
      <c r="AJ32" s="83" t="n"/>
      <c r="AK32" s="49" t="n"/>
      <c r="AL32" s="49" t="n"/>
      <c r="AM32" s="115" t="n"/>
      <c r="AN32" s="83" t="n"/>
      <c r="AO32" s="49" t="n"/>
      <c r="AP32" s="49" t="n"/>
      <c r="AQ32" s="117" t="n"/>
      <c r="AR32" s="83" t="n"/>
      <c r="AS32" s="49" t="n"/>
      <c r="AT32" s="49" t="n"/>
      <c r="AU32" s="115" t="n"/>
      <c r="AV32" s="83" t="n"/>
      <c r="AW32" s="49" t="n"/>
      <c r="AX32" s="49" t="n"/>
      <c r="AY32" s="115" t="n"/>
      <c r="AZ32" s="83" t="n"/>
      <c r="BA32" s="49" t="n"/>
      <c r="BB32" s="49" t="n"/>
      <c r="BC32" s="115" t="n"/>
      <c r="BD32" s="110">
        <f>SUM(K32,O32,S32,W32,AA32,AE32,AI32,AM32,AQ32,AU32,AY32,BC32)</f>
        <v/>
      </c>
      <c r="BE32" s="45" t="n"/>
      <c r="BF32" s="113" t="n"/>
      <c r="BG32" s="45" t="n"/>
      <c r="BH32" s="113" t="n"/>
      <c r="BI32" s="45" t="n"/>
      <c r="BJ32" s="113" t="n"/>
      <c r="BK32" s="45" t="n"/>
      <c r="BL32" s="113" t="n"/>
      <c r="BM32" s="45" t="n"/>
      <c r="BN32" s="113" t="n"/>
      <c r="BO32" s="114">
        <f>SUM(BF32,BH32,BJ32,BL32,BN32)</f>
        <v/>
      </c>
      <c r="BP32" s="45" t="n"/>
      <c r="BQ32" s="45" t="n"/>
      <c r="BR32" s="113" t="n"/>
      <c r="BS32" s="45" t="n"/>
      <c r="BT32" s="113" t="n"/>
      <c r="BU32" s="45" t="n"/>
      <c r="BV32" s="113" t="n"/>
      <c r="BW32" s="114">
        <f>SUM(BR32,BT32,BV32)</f>
        <v/>
      </c>
      <c r="BX32" s="45" t="n"/>
      <c r="BY32" s="114">
        <f>BD32 - IF(BP32="Y", 0, BO32) - IF(BX32="Y", 0, BW32)</f>
        <v/>
      </c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</row>
    <row r="33" ht="13.5" customHeight="1">
      <c r="B33" s="47">
        <f>$B$3</f>
        <v/>
      </c>
      <c r="C33" s="48">
        <f>$C$3</f>
        <v/>
      </c>
      <c r="D33" s="40">
        <f>IF(SUM(COUNTIF(H33, "*"), COUNTIF(L33, "*"), COUNTIF(P33, "*"), COUNTIF(T33, "*"), COUNTIF(X33, "*"), COUNTIF(AB33, "*"), COUNTIF(AF33, "*"), COUNTIF(AJ33, "*"), COUNTIF(AN33, "*"), COUNTIF(AR33, "*"), COUNTIF(AV33, "*"), COUNTIF(AZ33, "*"))&gt;0, "Y", "N")</f>
        <v/>
      </c>
      <c r="E33" s="49" t="n"/>
      <c r="F33" s="49" t="n"/>
      <c r="G33" s="59" t="n">
        <v>46753</v>
      </c>
      <c r="H33" s="83" t="n"/>
      <c r="I33" s="49" t="n"/>
      <c r="J33" s="50" t="n"/>
      <c r="K33" s="115" t="n"/>
      <c r="L33" s="83" t="n"/>
      <c r="M33" s="49" t="n"/>
      <c r="N33" s="49" t="n"/>
      <c r="O33" s="115" t="n"/>
      <c r="P33" s="83" t="n"/>
      <c r="Q33" s="49" t="n"/>
      <c r="R33" s="49" t="n"/>
      <c r="S33" s="115" t="n"/>
      <c r="T33" s="83" t="n"/>
      <c r="U33" s="49" t="n"/>
      <c r="V33" s="49" t="n"/>
      <c r="W33" s="116" t="n"/>
      <c r="X33" s="83" t="n"/>
      <c r="Y33" s="49" t="n"/>
      <c r="Z33" s="49" t="n"/>
      <c r="AA33" s="115" t="n"/>
      <c r="AB33" s="83" t="n"/>
      <c r="AC33" s="49" t="n"/>
      <c r="AD33" s="49" t="n"/>
      <c r="AE33" s="115" t="n"/>
      <c r="AF33" s="83" t="n"/>
      <c r="AG33" s="49" t="n"/>
      <c r="AH33" s="49" t="n"/>
      <c r="AI33" s="115" t="n"/>
      <c r="AJ33" s="83" t="n"/>
      <c r="AK33" s="49" t="n"/>
      <c r="AL33" s="49" t="n"/>
      <c r="AM33" s="115" t="n"/>
      <c r="AN33" s="83" t="n"/>
      <c r="AO33" s="49" t="n"/>
      <c r="AP33" s="49" t="n"/>
      <c r="AQ33" s="117" t="n"/>
      <c r="AR33" s="83" t="n"/>
      <c r="AS33" s="49" t="n"/>
      <c r="AT33" s="49" t="n"/>
      <c r="AU33" s="115" t="n"/>
      <c r="AV33" s="83" t="n"/>
      <c r="AW33" s="49" t="n"/>
      <c r="AX33" s="49" t="n"/>
      <c r="AY33" s="115" t="n"/>
      <c r="AZ33" s="83" t="n"/>
      <c r="BA33" s="49" t="n"/>
      <c r="BB33" s="49" t="n"/>
      <c r="BC33" s="115" t="n"/>
      <c r="BD33" s="110">
        <f>SUM(K33,O33,S33,W33,AA33,AE33,AI33,AM33,AQ33,AU33,AY33,BC33)</f>
        <v/>
      </c>
      <c r="BE33" s="45" t="n"/>
      <c r="BF33" s="113" t="n"/>
      <c r="BG33" s="45" t="n"/>
      <c r="BH33" s="113" t="n"/>
      <c r="BI33" s="45" t="n"/>
      <c r="BJ33" s="113" t="n"/>
      <c r="BK33" s="45" t="n"/>
      <c r="BL33" s="113" t="n"/>
      <c r="BM33" s="45" t="n"/>
      <c r="BN33" s="113" t="n"/>
      <c r="BO33" s="114">
        <f>SUM(BF33,BH33,BJ33,BL33,BN33)</f>
        <v/>
      </c>
      <c r="BP33" s="45" t="n"/>
      <c r="BQ33" s="45" t="n"/>
      <c r="BR33" s="113" t="n"/>
      <c r="BS33" s="45" t="n"/>
      <c r="BT33" s="113" t="n"/>
      <c r="BU33" s="45" t="n"/>
      <c r="BV33" s="113" t="n"/>
      <c r="BW33" s="114">
        <f>SUM(BR33,BT33,BV33)</f>
        <v/>
      </c>
      <c r="BX33" s="45" t="n"/>
      <c r="BY33" s="114">
        <f>BD33 - IF(BP33="Y", 0, BO33) - IF(BX33="Y", 0, BW33)</f>
        <v/>
      </c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</row>
    <row r="34" ht="13.5" customHeight="1">
      <c r="B34" s="47">
        <f>$B$3</f>
        <v/>
      </c>
      <c r="C34" s="48">
        <f>$C$3</f>
        <v/>
      </c>
      <c r="D34" s="40">
        <f>IF(SUM(COUNTIF(H34, "*"), COUNTIF(L34, "*"), COUNTIF(P34, "*"), COUNTIF(T34, "*"), COUNTIF(X34, "*"), COUNTIF(AB34, "*"), COUNTIF(AF34, "*"), COUNTIF(AJ34, "*"), COUNTIF(AN34, "*"), COUNTIF(AR34, "*"), COUNTIF(AV34, "*"), COUNTIF(AZ34, "*"))&gt;0, "Y", "N")</f>
        <v/>
      </c>
      <c r="E34" s="49" t="n"/>
      <c r="F34" s="49" t="n"/>
      <c r="G34" s="59" t="n">
        <v>46784</v>
      </c>
      <c r="H34" s="83" t="n"/>
      <c r="I34" s="49" t="n"/>
      <c r="J34" s="50" t="n"/>
      <c r="K34" s="115" t="n"/>
      <c r="L34" s="83" t="n"/>
      <c r="M34" s="49" t="n"/>
      <c r="N34" s="49" t="n"/>
      <c r="O34" s="115" t="n"/>
      <c r="P34" s="83" t="n"/>
      <c r="Q34" s="49" t="n"/>
      <c r="R34" s="49" t="n"/>
      <c r="S34" s="115" t="n"/>
      <c r="T34" s="83" t="n"/>
      <c r="U34" s="49" t="n"/>
      <c r="V34" s="49" t="n"/>
      <c r="W34" s="116" t="n"/>
      <c r="X34" s="83" t="n"/>
      <c r="Y34" s="49" t="n"/>
      <c r="Z34" s="49" t="n"/>
      <c r="AA34" s="115" t="n"/>
      <c r="AB34" s="83" t="n"/>
      <c r="AC34" s="49" t="n"/>
      <c r="AD34" s="49" t="n"/>
      <c r="AE34" s="115" t="n"/>
      <c r="AF34" s="83" t="n"/>
      <c r="AG34" s="49" t="n"/>
      <c r="AH34" s="49" t="n"/>
      <c r="AI34" s="115" t="n"/>
      <c r="AJ34" s="83" t="n"/>
      <c r="AK34" s="49" t="n"/>
      <c r="AL34" s="49" t="n"/>
      <c r="AM34" s="115" t="n"/>
      <c r="AN34" s="83" t="n"/>
      <c r="AO34" s="49" t="n"/>
      <c r="AP34" s="49" t="n"/>
      <c r="AQ34" s="117" t="n"/>
      <c r="AR34" s="83" t="n"/>
      <c r="AS34" s="49" t="n"/>
      <c r="AT34" s="49" t="n"/>
      <c r="AU34" s="115" t="n"/>
      <c r="AV34" s="83" t="n"/>
      <c r="AW34" s="49" t="n"/>
      <c r="AX34" s="49" t="n"/>
      <c r="AY34" s="115" t="n"/>
      <c r="AZ34" s="83" t="n"/>
      <c r="BA34" s="49" t="n"/>
      <c r="BB34" s="49" t="n"/>
      <c r="BC34" s="115" t="n"/>
      <c r="BD34" s="110">
        <f>SUM(K34,O34,S34,W34,AA34,AE34,AI34,AM34,AQ34,AU34,AY34,BC34)</f>
        <v/>
      </c>
      <c r="BE34" s="45" t="n"/>
      <c r="BF34" s="113" t="n"/>
      <c r="BG34" s="45" t="n"/>
      <c r="BH34" s="113" t="n"/>
      <c r="BI34" s="45" t="n"/>
      <c r="BJ34" s="113" t="n"/>
      <c r="BK34" s="45" t="n"/>
      <c r="BL34" s="113" t="n"/>
      <c r="BM34" s="45" t="n"/>
      <c r="BN34" s="113" t="n"/>
      <c r="BO34" s="114">
        <f>SUM(BF34,BH34,BJ34,BL34,BN34)</f>
        <v/>
      </c>
      <c r="BP34" s="45" t="n"/>
      <c r="BQ34" s="45" t="n"/>
      <c r="BR34" s="113" t="n"/>
      <c r="BS34" s="45" t="n"/>
      <c r="BT34" s="113" t="n"/>
      <c r="BU34" s="45" t="n"/>
      <c r="BV34" s="113" t="n"/>
      <c r="BW34" s="114">
        <f>SUM(BR34,BT34,BV34)</f>
        <v/>
      </c>
      <c r="BX34" s="45" t="n"/>
      <c r="BY34" s="114">
        <f>BD34 - IF(BP34="Y", 0, BO34) - IF(BX34="Y", 0, BW34)</f>
        <v/>
      </c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</row>
    <row r="35" ht="13.5" customHeight="1">
      <c r="B35" s="47">
        <f>$B$3</f>
        <v/>
      </c>
      <c r="C35" s="48">
        <f>$C$3</f>
        <v/>
      </c>
      <c r="D35" s="40">
        <f>IF(SUM(COUNTIF(H35, "*"), COUNTIF(L35, "*"), COUNTIF(P35, "*"), COUNTIF(T35, "*"), COUNTIF(X35, "*"), COUNTIF(AB35, "*"), COUNTIF(AF35, "*"), COUNTIF(AJ35, "*"), COUNTIF(AN35, "*"), COUNTIF(AR35, "*"), COUNTIF(AV35, "*"), COUNTIF(AZ35, "*"))&gt;0, "Y", "N")</f>
        <v/>
      </c>
      <c r="E35" s="49" t="n"/>
      <c r="F35" s="49" t="n"/>
      <c r="G35" s="59" t="n">
        <v>46813</v>
      </c>
      <c r="H35" s="83" t="n"/>
      <c r="I35" s="49" t="n"/>
      <c r="J35" s="50" t="n"/>
      <c r="K35" s="115" t="n"/>
      <c r="L35" s="83" t="n"/>
      <c r="M35" s="49" t="n"/>
      <c r="N35" s="49" t="n"/>
      <c r="O35" s="115" t="n"/>
      <c r="P35" s="83" t="n"/>
      <c r="Q35" s="49" t="n"/>
      <c r="R35" s="49" t="n"/>
      <c r="S35" s="115" t="n"/>
      <c r="T35" s="83" t="n"/>
      <c r="U35" s="49" t="n"/>
      <c r="V35" s="49" t="n"/>
      <c r="W35" s="116" t="n"/>
      <c r="X35" s="83" t="n"/>
      <c r="Y35" s="49" t="n"/>
      <c r="Z35" s="49" t="n"/>
      <c r="AA35" s="115" t="n"/>
      <c r="AB35" s="83" t="n"/>
      <c r="AC35" s="49" t="n"/>
      <c r="AD35" s="49" t="n"/>
      <c r="AE35" s="115" t="n"/>
      <c r="AF35" s="83" t="n"/>
      <c r="AG35" s="49" t="n"/>
      <c r="AH35" s="49" t="n"/>
      <c r="AI35" s="115" t="n"/>
      <c r="AJ35" s="83" t="n"/>
      <c r="AK35" s="49" t="n"/>
      <c r="AL35" s="49" t="n"/>
      <c r="AM35" s="115" t="n"/>
      <c r="AN35" s="83" t="n"/>
      <c r="AO35" s="49" t="n"/>
      <c r="AP35" s="49" t="n"/>
      <c r="AQ35" s="117" t="n"/>
      <c r="AR35" s="83" t="n"/>
      <c r="AS35" s="49" t="n"/>
      <c r="AT35" s="49" t="n"/>
      <c r="AU35" s="115" t="n"/>
      <c r="AV35" s="83" t="n"/>
      <c r="AW35" s="49" t="n"/>
      <c r="AX35" s="49" t="n"/>
      <c r="AY35" s="115" t="n"/>
      <c r="AZ35" s="83" t="n"/>
      <c r="BA35" s="49" t="n"/>
      <c r="BB35" s="49" t="n"/>
      <c r="BC35" s="115" t="n"/>
      <c r="BD35" s="110">
        <f>SUM(K35,O35,S35,W35,AA35,AE35,AI35,AM35,AQ35,AU35,AY35,BC35)</f>
        <v/>
      </c>
      <c r="BE35" s="45" t="n"/>
      <c r="BF35" s="113" t="n"/>
      <c r="BG35" s="45" t="n"/>
      <c r="BH35" s="113" t="n"/>
      <c r="BI35" s="45" t="n"/>
      <c r="BJ35" s="113" t="n"/>
      <c r="BK35" s="45" t="n"/>
      <c r="BL35" s="113" t="n"/>
      <c r="BM35" s="45" t="n"/>
      <c r="BN35" s="113" t="n"/>
      <c r="BO35" s="114">
        <f>SUM(BF35,BH35,BJ35,BL35,BN35)</f>
        <v/>
      </c>
      <c r="BP35" s="45" t="n"/>
      <c r="BQ35" s="45" t="n"/>
      <c r="BR35" s="113" t="n"/>
      <c r="BS35" s="45" t="n"/>
      <c r="BT35" s="113" t="n"/>
      <c r="BU35" s="45" t="n"/>
      <c r="BV35" s="113" t="n"/>
      <c r="BW35" s="114">
        <f>SUM(BR35,BT35,BV35)</f>
        <v/>
      </c>
      <c r="BX35" s="45" t="n"/>
      <c r="BY35" s="114">
        <f>BD35 - IF(BP35="Y", 0, BO35) - IF(BX35="Y", 0, BW35)</f>
        <v/>
      </c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</row>
    <row r="36" ht="13.5" customHeight="1">
      <c r="B36" s="47">
        <f>$B$3</f>
        <v/>
      </c>
      <c r="C36" s="48">
        <f>$C$3</f>
        <v/>
      </c>
      <c r="D36" s="40">
        <f>IF(SUM(COUNTIF(H36, "*"), COUNTIF(L36, "*"), COUNTIF(P36, "*"), COUNTIF(T36, "*"), COUNTIF(X36, "*"), COUNTIF(AB36, "*"), COUNTIF(AF36, "*"), COUNTIF(AJ36, "*"), COUNTIF(AN36, "*"), COUNTIF(AR36, "*"), COUNTIF(AV36, "*"), COUNTIF(AZ36, "*"))&gt;0, "Y", "N")</f>
        <v/>
      </c>
      <c r="E36" s="49" t="n"/>
      <c r="F36" s="49" t="n"/>
      <c r="G36" s="59" t="n">
        <v>46844</v>
      </c>
      <c r="H36" s="83" t="n"/>
      <c r="I36" s="49" t="n"/>
      <c r="J36" s="50" t="n"/>
      <c r="K36" s="115" t="n"/>
      <c r="L36" s="83" t="n"/>
      <c r="M36" s="49" t="n"/>
      <c r="N36" s="49" t="n"/>
      <c r="O36" s="115" t="n"/>
      <c r="P36" s="83" t="n"/>
      <c r="Q36" s="49" t="n"/>
      <c r="R36" s="49" t="n"/>
      <c r="S36" s="115" t="n"/>
      <c r="T36" s="83" t="n"/>
      <c r="U36" s="49" t="n"/>
      <c r="V36" s="49" t="n"/>
      <c r="W36" s="116" t="n"/>
      <c r="X36" s="83" t="n"/>
      <c r="Y36" s="49" t="n"/>
      <c r="Z36" s="49" t="n"/>
      <c r="AA36" s="115" t="n"/>
      <c r="AB36" s="83" t="n"/>
      <c r="AC36" s="49" t="n"/>
      <c r="AD36" s="49" t="n"/>
      <c r="AE36" s="115" t="n"/>
      <c r="AF36" s="83" t="n"/>
      <c r="AG36" s="49" t="n"/>
      <c r="AH36" s="49" t="n"/>
      <c r="AI36" s="115" t="n"/>
      <c r="AJ36" s="83" t="n"/>
      <c r="AK36" s="49" t="n"/>
      <c r="AL36" s="49" t="n"/>
      <c r="AM36" s="115" t="n"/>
      <c r="AN36" s="83" t="n"/>
      <c r="AO36" s="49" t="n"/>
      <c r="AP36" s="49" t="n"/>
      <c r="AQ36" s="117" t="n"/>
      <c r="AR36" s="83" t="n"/>
      <c r="AS36" s="49" t="n"/>
      <c r="AT36" s="49" t="n"/>
      <c r="AU36" s="115" t="n"/>
      <c r="AV36" s="83" t="n"/>
      <c r="AW36" s="49" t="n"/>
      <c r="AX36" s="49" t="n"/>
      <c r="AY36" s="115" t="n"/>
      <c r="AZ36" s="83" t="n"/>
      <c r="BA36" s="49" t="n"/>
      <c r="BB36" s="49" t="n"/>
      <c r="BC36" s="115" t="n"/>
      <c r="BD36" s="110">
        <f>SUM(K36,O36,S36,W36,AA36,AE36,AI36,AM36,AQ36,AU36,AY36,BC36)</f>
        <v/>
      </c>
      <c r="BE36" s="45" t="n"/>
      <c r="BF36" s="113" t="n"/>
      <c r="BG36" s="45" t="n"/>
      <c r="BH36" s="113" t="n"/>
      <c r="BI36" s="45" t="n"/>
      <c r="BJ36" s="113" t="n"/>
      <c r="BK36" s="45" t="n"/>
      <c r="BL36" s="113" t="n"/>
      <c r="BM36" s="45" t="n"/>
      <c r="BN36" s="113" t="n"/>
      <c r="BO36" s="114">
        <f>SUM(BF36,BH36,BJ36,BL36,BN36)</f>
        <v/>
      </c>
      <c r="BP36" s="45" t="n"/>
      <c r="BQ36" s="45" t="n"/>
      <c r="BR36" s="113" t="n"/>
      <c r="BS36" s="45" t="n"/>
      <c r="BT36" s="113" t="n"/>
      <c r="BU36" s="45" t="n"/>
      <c r="BV36" s="113" t="n"/>
      <c r="BW36" s="114">
        <f>SUM(BR36,BT36,BV36)</f>
        <v/>
      </c>
      <c r="BX36" s="45" t="n"/>
      <c r="BY36" s="114">
        <f>BD36 - IF(BP36="Y", 0, BO36) - IF(BX36="Y", 0, BW36)</f>
        <v/>
      </c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</row>
    <row r="37" ht="13.5" customHeight="1">
      <c r="B37" s="47">
        <f>$B$3</f>
        <v/>
      </c>
      <c r="C37" s="48">
        <f>$C$3</f>
        <v/>
      </c>
      <c r="D37" s="40">
        <f>IF(SUM(COUNTIF(H37, "*"), COUNTIF(L37, "*"), COUNTIF(P37, "*"), COUNTIF(T37, "*"), COUNTIF(X37, "*"), COUNTIF(AB37, "*"), COUNTIF(AF37, "*"), COUNTIF(AJ37, "*"), COUNTIF(AN37, "*"), COUNTIF(AR37, "*"), COUNTIF(AV37, "*"), COUNTIF(AZ37, "*"))&gt;0, "Y", "N")</f>
        <v/>
      </c>
      <c r="E37" s="49" t="n"/>
      <c r="F37" s="49" t="n"/>
      <c r="G37" s="59" t="n">
        <v>46874</v>
      </c>
      <c r="H37" s="83" t="n"/>
      <c r="I37" s="49" t="n"/>
      <c r="J37" s="50" t="n"/>
      <c r="K37" s="115" t="n"/>
      <c r="L37" s="83" t="n"/>
      <c r="M37" s="49" t="n"/>
      <c r="N37" s="49" t="n"/>
      <c r="O37" s="115" t="n"/>
      <c r="P37" s="83" t="n"/>
      <c r="Q37" s="49" t="n"/>
      <c r="R37" s="49" t="n"/>
      <c r="S37" s="115" t="n"/>
      <c r="T37" s="83" t="n"/>
      <c r="U37" s="49" t="n"/>
      <c r="V37" s="49" t="n"/>
      <c r="W37" s="116" t="n"/>
      <c r="X37" s="83" t="n"/>
      <c r="Y37" s="49" t="n"/>
      <c r="Z37" s="49" t="n"/>
      <c r="AA37" s="115" t="n"/>
      <c r="AB37" s="83" t="n"/>
      <c r="AC37" s="49" t="n"/>
      <c r="AD37" s="49" t="n"/>
      <c r="AE37" s="115" t="n"/>
      <c r="AF37" s="83" t="n"/>
      <c r="AG37" s="49" t="n"/>
      <c r="AH37" s="49" t="n"/>
      <c r="AI37" s="115" t="n"/>
      <c r="AJ37" s="83" t="n"/>
      <c r="AK37" s="49" t="n"/>
      <c r="AL37" s="49" t="n"/>
      <c r="AM37" s="115" t="n"/>
      <c r="AN37" s="83" t="n"/>
      <c r="AO37" s="49" t="n"/>
      <c r="AP37" s="49" t="n"/>
      <c r="AQ37" s="117" t="n"/>
      <c r="AR37" s="83" t="n"/>
      <c r="AS37" s="49" t="n"/>
      <c r="AT37" s="49" t="n"/>
      <c r="AU37" s="115" t="n"/>
      <c r="AV37" s="83" t="n"/>
      <c r="AW37" s="49" t="n"/>
      <c r="AX37" s="49" t="n"/>
      <c r="AY37" s="115" t="n"/>
      <c r="AZ37" s="83" t="n"/>
      <c r="BA37" s="49" t="n"/>
      <c r="BB37" s="49" t="n"/>
      <c r="BC37" s="115" t="n"/>
      <c r="BD37" s="110">
        <f>SUM(K37,O37,S37,W37,AA37,AE37,AI37,AM37,AQ37,AU37,AY37,BC37)</f>
        <v/>
      </c>
      <c r="BE37" s="45" t="n"/>
      <c r="BF37" s="113" t="n"/>
      <c r="BG37" s="45" t="n"/>
      <c r="BH37" s="113" t="n"/>
      <c r="BI37" s="45" t="n"/>
      <c r="BJ37" s="113" t="n"/>
      <c r="BK37" s="45" t="n"/>
      <c r="BL37" s="113" t="n"/>
      <c r="BM37" s="45" t="n"/>
      <c r="BN37" s="113" t="n"/>
      <c r="BO37" s="114">
        <f>SUM(BF37,BH37,BJ37,BL37,BN37)</f>
        <v/>
      </c>
      <c r="BP37" s="45" t="n"/>
      <c r="BQ37" s="45" t="n"/>
      <c r="BR37" s="113" t="n"/>
      <c r="BS37" s="45" t="n"/>
      <c r="BT37" s="113" t="n"/>
      <c r="BU37" s="45" t="n"/>
      <c r="BV37" s="113" t="n"/>
      <c r="BW37" s="114">
        <f>SUM(BR37,BT37,BV37)</f>
        <v/>
      </c>
      <c r="BX37" s="45" t="n"/>
      <c r="BY37" s="114">
        <f>BD37 - IF(BP37="Y", 0, BO37) - IF(BX37="Y", 0, BW37)</f>
        <v/>
      </c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</row>
    <row r="38" ht="13.5" customHeight="1">
      <c r="B38" s="47">
        <f>$B$3</f>
        <v/>
      </c>
      <c r="C38" s="48">
        <f>$C$3</f>
        <v/>
      </c>
      <c r="D38" s="40">
        <f>IF(SUM(COUNTIF(H38, "*"), COUNTIF(L38, "*"), COUNTIF(P38, "*"), COUNTIF(T38, "*"), COUNTIF(X38, "*"), COUNTIF(AB38, "*"), COUNTIF(AF38, "*"), COUNTIF(AJ38, "*"), COUNTIF(AN38, "*"), COUNTIF(AR38, "*"), COUNTIF(AV38, "*"), COUNTIF(AZ38, "*"))&gt;0, "Y", "N")</f>
        <v/>
      </c>
      <c r="E38" s="49" t="n"/>
      <c r="F38" s="49" t="n"/>
      <c r="G38" s="59" t="n">
        <v>46905</v>
      </c>
      <c r="H38" s="83" t="n"/>
      <c r="I38" s="49" t="n"/>
      <c r="J38" s="50" t="n"/>
      <c r="K38" s="115" t="n"/>
      <c r="L38" s="83" t="n"/>
      <c r="M38" s="49" t="n"/>
      <c r="N38" s="49" t="n"/>
      <c r="O38" s="115" t="n"/>
      <c r="P38" s="83" t="n"/>
      <c r="Q38" s="49" t="n"/>
      <c r="R38" s="49" t="n"/>
      <c r="S38" s="115" t="n"/>
      <c r="T38" s="83" t="n"/>
      <c r="U38" s="49" t="n"/>
      <c r="V38" s="49" t="n"/>
      <c r="W38" s="116" t="n"/>
      <c r="X38" s="83" t="n"/>
      <c r="Y38" s="49" t="n"/>
      <c r="Z38" s="49" t="n"/>
      <c r="AA38" s="115" t="n"/>
      <c r="AB38" s="83" t="n"/>
      <c r="AC38" s="49" t="n"/>
      <c r="AD38" s="49" t="n"/>
      <c r="AE38" s="115" t="n"/>
      <c r="AF38" s="83" t="n"/>
      <c r="AG38" s="49" t="n"/>
      <c r="AH38" s="49" t="n"/>
      <c r="AI38" s="115" t="n"/>
      <c r="AJ38" s="83" t="n"/>
      <c r="AK38" s="49" t="n"/>
      <c r="AL38" s="49" t="n"/>
      <c r="AM38" s="115" t="n"/>
      <c r="AN38" s="83" t="n"/>
      <c r="AO38" s="49" t="n"/>
      <c r="AP38" s="49" t="n"/>
      <c r="AQ38" s="117" t="n"/>
      <c r="AR38" s="83" t="n"/>
      <c r="AS38" s="49" t="n"/>
      <c r="AT38" s="49" t="n"/>
      <c r="AU38" s="115" t="n"/>
      <c r="AV38" s="83" t="n"/>
      <c r="AW38" s="49" t="n"/>
      <c r="AX38" s="49" t="n"/>
      <c r="AY38" s="115" t="n"/>
      <c r="AZ38" s="83" t="n"/>
      <c r="BA38" s="49" t="n"/>
      <c r="BB38" s="49" t="n"/>
      <c r="BC38" s="115" t="n"/>
      <c r="BD38" s="110">
        <f>SUM(K38,O38,S38,W38,AA38,AE38,AI38,AM38,AQ38,AU38,AY38,BC38)</f>
        <v/>
      </c>
      <c r="BE38" s="45" t="n"/>
      <c r="BF38" s="113" t="n"/>
      <c r="BG38" s="45" t="n"/>
      <c r="BH38" s="113" t="n"/>
      <c r="BI38" s="45" t="n"/>
      <c r="BJ38" s="113" t="n"/>
      <c r="BK38" s="45" t="n"/>
      <c r="BL38" s="113" t="n"/>
      <c r="BM38" s="45" t="n"/>
      <c r="BN38" s="113" t="n"/>
      <c r="BO38" s="114">
        <f>SUM(BF38,BH38,BJ38,BL38,BN38)</f>
        <v/>
      </c>
      <c r="BP38" s="45" t="n"/>
      <c r="BQ38" s="45" t="n"/>
      <c r="BR38" s="113" t="n"/>
      <c r="BS38" s="45" t="n"/>
      <c r="BT38" s="113" t="n"/>
      <c r="BU38" s="45" t="n"/>
      <c r="BV38" s="113" t="n"/>
      <c r="BW38" s="114">
        <f>SUM(BR38,BT38,BV38)</f>
        <v/>
      </c>
      <c r="BX38" s="45" t="n"/>
      <c r="BY38" s="114">
        <f>BD38 - IF(BP38="Y", 0, BO38) - IF(BX38="Y", 0, BW38)</f>
        <v/>
      </c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</row>
    <row r="39" ht="13.5" customHeight="1">
      <c r="B39" s="47">
        <f>$B$3</f>
        <v/>
      </c>
      <c r="C39" s="48">
        <f>$C$3</f>
        <v/>
      </c>
      <c r="D39" s="40">
        <f>IF(SUM(COUNTIF(H39, "*"), COUNTIF(L39, "*"), COUNTIF(P39, "*"), COUNTIF(T39, "*"), COUNTIF(X39, "*"), COUNTIF(AB39, "*"), COUNTIF(AF39, "*"), COUNTIF(AJ39, "*"), COUNTIF(AN39, "*"), COUNTIF(AR39, "*"), COUNTIF(AV39, "*"), COUNTIF(AZ39, "*"))&gt;0, "Y", "N")</f>
        <v/>
      </c>
      <c r="E39" s="49" t="n"/>
      <c r="F39" s="49" t="n"/>
      <c r="G39" s="59" t="n">
        <v>46935</v>
      </c>
      <c r="H39" s="83" t="n"/>
      <c r="I39" s="49" t="n"/>
      <c r="J39" s="50" t="n"/>
      <c r="K39" s="115" t="n"/>
      <c r="L39" s="83" t="n"/>
      <c r="M39" s="49" t="n"/>
      <c r="N39" s="49" t="n"/>
      <c r="O39" s="115" t="n"/>
      <c r="P39" s="83" t="n"/>
      <c r="Q39" s="49" t="n"/>
      <c r="R39" s="49" t="n"/>
      <c r="S39" s="115" t="n"/>
      <c r="T39" s="83" t="n"/>
      <c r="U39" s="49" t="n"/>
      <c r="V39" s="49" t="n"/>
      <c r="W39" s="116" t="n"/>
      <c r="X39" s="83" t="n"/>
      <c r="Y39" s="49" t="n"/>
      <c r="Z39" s="49" t="n"/>
      <c r="AA39" s="115" t="n"/>
      <c r="AB39" s="83" t="n"/>
      <c r="AC39" s="49" t="n"/>
      <c r="AD39" s="49" t="n"/>
      <c r="AE39" s="115" t="n"/>
      <c r="AF39" s="83" t="n"/>
      <c r="AG39" s="49" t="n"/>
      <c r="AH39" s="49" t="n"/>
      <c r="AI39" s="115" t="n"/>
      <c r="AJ39" s="83" t="n"/>
      <c r="AK39" s="49" t="n"/>
      <c r="AL39" s="49" t="n"/>
      <c r="AM39" s="115" t="n"/>
      <c r="AN39" s="83" t="n"/>
      <c r="AO39" s="49" t="n"/>
      <c r="AP39" s="49" t="n"/>
      <c r="AQ39" s="117" t="n"/>
      <c r="AR39" s="83" t="n"/>
      <c r="AS39" s="49" t="n"/>
      <c r="AT39" s="49" t="n"/>
      <c r="AU39" s="115" t="n"/>
      <c r="AV39" s="83" t="n"/>
      <c r="AW39" s="49" t="n"/>
      <c r="AX39" s="49" t="n"/>
      <c r="AY39" s="115" t="n"/>
      <c r="AZ39" s="83" t="n"/>
      <c r="BA39" s="49" t="n"/>
      <c r="BB39" s="49" t="n"/>
      <c r="BC39" s="115" t="n"/>
      <c r="BD39" s="110">
        <f>SUM(K39,O39,S39,W39,AA39,AE39,AI39,AM39,AQ39,AU39,AY39,BC39)</f>
        <v/>
      </c>
      <c r="BE39" s="45" t="n"/>
      <c r="BF39" s="113" t="n"/>
      <c r="BG39" s="45" t="n"/>
      <c r="BH39" s="113" t="n"/>
      <c r="BI39" s="45" t="n"/>
      <c r="BJ39" s="113" t="n"/>
      <c r="BK39" s="45" t="n"/>
      <c r="BL39" s="113" t="n"/>
      <c r="BM39" s="45" t="n"/>
      <c r="BN39" s="113" t="n"/>
      <c r="BO39" s="114">
        <f>SUM(BF39,BH39,BJ39,BL39,BN39)</f>
        <v/>
      </c>
      <c r="BP39" s="45" t="n"/>
      <c r="BQ39" s="45" t="n"/>
      <c r="BR39" s="113" t="n"/>
      <c r="BS39" s="45" t="n"/>
      <c r="BT39" s="113" t="n"/>
      <c r="BU39" s="45" t="n"/>
      <c r="BV39" s="113" t="n"/>
      <c r="BW39" s="114">
        <f>SUM(BR39,BT39,BV39)</f>
        <v/>
      </c>
      <c r="BX39" s="45" t="n"/>
      <c r="BY39" s="114">
        <f>BD39 - IF(BP39="Y", 0, BO39) - IF(BX39="Y", 0, BW39)</f>
        <v/>
      </c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</row>
    <row r="40" ht="13.5" customHeight="1">
      <c r="B40" s="47">
        <f>$B$3</f>
        <v/>
      </c>
      <c r="C40" s="48">
        <f>$C$3</f>
        <v/>
      </c>
      <c r="D40" s="40">
        <f>IF(SUM(COUNTIF(H40, "*"), COUNTIF(L40, "*"), COUNTIF(P40, "*"), COUNTIF(T40, "*"), COUNTIF(X40, "*"), COUNTIF(AB40, "*"), COUNTIF(AF40, "*"), COUNTIF(AJ40, "*"), COUNTIF(AN40, "*"), COUNTIF(AR40, "*"), COUNTIF(AV40, "*"), COUNTIF(AZ40, "*"))&gt;0, "Y", "N")</f>
        <v/>
      </c>
      <c r="E40" s="49" t="n"/>
      <c r="F40" s="49" t="n"/>
      <c r="G40" s="59" t="n">
        <v>46966</v>
      </c>
      <c r="H40" s="83" t="n"/>
      <c r="I40" s="49" t="n"/>
      <c r="J40" s="50" t="n"/>
      <c r="K40" s="115" t="n"/>
      <c r="L40" s="83" t="n"/>
      <c r="M40" s="49" t="n"/>
      <c r="N40" s="49" t="n"/>
      <c r="O40" s="115" t="n"/>
      <c r="P40" s="83" t="n"/>
      <c r="Q40" s="49" t="n"/>
      <c r="R40" s="49" t="n"/>
      <c r="S40" s="115" t="n"/>
      <c r="T40" s="83" t="n"/>
      <c r="U40" s="49" t="n"/>
      <c r="V40" s="49" t="n"/>
      <c r="W40" s="116" t="n"/>
      <c r="X40" s="83" t="n"/>
      <c r="Y40" s="49" t="n"/>
      <c r="Z40" s="49" t="n"/>
      <c r="AA40" s="115" t="n"/>
      <c r="AB40" s="83" t="n"/>
      <c r="AC40" s="49" t="n"/>
      <c r="AD40" s="49" t="n"/>
      <c r="AE40" s="115" t="n"/>
      <c r="AF40" s="83" t="n"/>
      <c r="AG40" s="49" t="n"/>
      <c r="AH40" s="49" t="n"/>
      <c r="AI40" s="115" t="n"/>
      <c r="AJ40" s="83" t="n"/>
      <c r="AK40" s="49" t="n"/>
      <c r="AL40" s="49" t="n"/>
      <c r="AM40" s="115" t="n"/>
      <c r="AN40" s="83" t="n"/>
      <c r="AO40" s="49" t="n"/>
      <c r="AP40" s="49" t="n"/>
      <c r="AQ40" s="117" t="n"/>
      <c r="AR40" s="83" t="n"/>
      <c r="AS40" s="49" t="n"/>
      <c r="AT40" s="49" t="n"/>
      <c r="AU40" s="115" t="n"/>
      <c r="AV40" s="83" t="n"/>
      <c r="AW40" s="49" t="n"/>
      <c r="AX40" s="49" t="n"/>
      <c r="AY40" s="115" t="n"/>
      <c r="AZ40" s="83" t="n"/>
      <c r="BA40" s="49" t="n"/>
      <c r="BB40" s="49" t="n"/>
      <c r="BC40" s="115" t="n"/>
      <c r="BD40" s="110">
        <f>SUM(K40,O40,S40,W40,AA40,AE40,AI40,AM40,AQ40,AU40,AY40,BC40)</f>
        <v/>
      </c>
      <c r="BE40" s="45" t="n"/>
      <c r="BF40" s="113" t="n"/>
      <c r="BG40" s="45" t="n"/>
      <c r="BH40" s="113" t="n"/>
      <c r="BI40" s="45" t="n"/>
      <c r="BJ40" s="113" t="n"/>
      <c r="BK40" s="45" t="n"/>
      <c r="BL40" s="113" t="n"/>
      <c r="BM40" s="45" t="n"/>
      <c r="BN40" s="113" t="n"/>
      <c r="BO40" s="114">
        <f>SUM(BF40,BH40,BJ40,BL40,BN40)</f>
        <v/>
      </c>
      <c r="BP40" s="45" t="n"/>
      <c r="BQ40" s="45" t="n"/>
      <c r="BR40" s="113" t="n"/>
      <c r="BS40" s="45" t="n"/>
      <c r="BT40" s="113" t="n"/>
      <c r="BU40" s="45" t="n"/>
      <c r="BV40" s="113" t="n"/>
      <c r="BW40" s="114">
        <f>SUM(BR40,BT40,BV40)</f>
        <v/>
      </c>
      <c r="BX40" s="45" t="n"/>
      <c r="BY40" s="114">
        <f>BD40 - IF(BP40="Y", 0, BO40) - IF(BX40="Y", 0, BW40)</f>
        <v/>
      </c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</row>
    <row r="41" ht="13.5" customHeight="1">
      <c r="B41" s="47">
        <f>$B$3</f>
        <v/>
      </c>
      <c r="C41" s="48">
        <f>$C$3</f>
        <v/>
      </c>
      <c r="D41" s="40">
        <f>IF(SUM(COUNTIF(H41, "*"), COUNTIF(L41, "*"), COUNTIF(P41, "*"), COUNTIF(T41, "*"), COUNTIF(X41, "*"), COUNTIF(AB41, "*"), COUNTIF(AF41, "*"), COUNTIF(AJ41, "*"), COUNTIF(AN41, "*"), COUNTIF(AR41, "*"), COUNTIF(AV41, "*"), COUNTIF(AZ41, "*"))&gt;0, "Y", "N")</f>
        <v/>
      </c>
      <c r="E41" s="49" t="n"/>
      <c r="F41" s="49" t="n"/>
      <c r="G41" s="59" t="n">
        <v>46997</v>
      </c>
      <c r="H41" s="83" t="n"/>
      <c r="I41" s="49" t="n"/>
      <c r="J41" s="50" t="n"/>
      <c r="K41" s="115" t="n"/>
      <c r="L41" s="83" t="n"/>
      <c r="M41" s="49" t="n"/>
      <c r="N41" s="49" t="n"/>
      <c r="O41" s="115" t="n"/>
      <c r="P41" s="83" t="n"/>
      <c r="Q41" s="49" t="n"/>
      <c r="R41" s="49" t="n"/>
      <c r="S41" s="115" t="n"/>
      <c r="T41" s="83" t="n"/>
      <c r="U41" s="49" t="n"/>
      <c r="V41" s="49" t="n"/>
      <c r="W41" s="116" t="n"/>
      <c r="X41" s="83" t="n"/>
      <c r="Y41" s="49" t="n"/>
      <c r="Z41" s="49" t="n"/>
      <c r="AA41" s="115" t="n"/>
      <c r="AB41" s="83" t="n"/>
      <c r="AC41" s="49" t="n"/>
      <c r="AD41" s="49" t="n"/>
      <c r="AE41" s="115" t="n"/>
      <c r="AF41" s="83" t="n"/>
      <c r="AG41" s="49" t="n"/>
      <c r="AH41" s="49" t="n"/>
      <c r="AI41" s="115" t="n"/>
      <c r="AJ41" s="83" t="n"/>
      <c r="AK41" s="49" t="n"/>
      <c r="AL41" s="49" t="n"/>
      <c r="AM41" s="115" t="n"/>
      <c r="AN41" s="83" t="n"/>
      <c r="AO41" s="49" t="n"/>
      <c r="AP41" s="49" t="n"/>
      <c r="AQ41" s="117" t="n"/>
      <c r="AR41" s="83" t="n"/>
      <c r="AS41" s="49" t="n"/>
      <c r="AT41" s="49" t="n"/>
      <c r="AU41" s="115" t="n"/>
      <c r="AV41" s="83" t="n"/>
      <c r="AW41" s="49" t="n"/>
      <c r="AX41" s="49" t="n"/>
      <c r="AY41" s="115" t="n"/>
      <c r="AZ41" s="83" t="n"/>
      <c r="BA41" s="49" t="n"/>
      <c r="BB41" s="49" t="n"/>
      <c r="BC41" s="115" t="n"/>
      <c r="BD41" s="110">
        <f>SUM(K41,O41,S41,W41,AA41,AE41,AI41,AM41,AQ41,AU41,AY41,BC41)</f>
        <v/>
      </c>
      <c r="BE41" s="45" t="n"/>
      <c r="BF41" s="113" t="n"/>
      <c r="BG41" s="45" t="n"/>
      <c r="BH41" s="113" t="n"/>
      <c r="BI41" s="45" t="n"/>
      <c r="BJ41" s="113" t="n"/>
      <c r="BK41" s="45" t="n"/>
      <c r="BL41" s="113" t="n"/>
      <c r="BM41" s="45" t="n"/>
      <c r="BN41" s="113" t="n"/>
      <c r="BO41" s="114">
        <f>SUM(BF41,BH41,BJ41,BL41,BN41)</f>
        <v/>
      </c>
      <c r="BP41" s="45" t="n"/>
      <c r="BQ41" s="45" t="n"/>
      <c r="BR41" s="113" t="n"/>
      <c r="BS41" s="45" t="n"/>
      <c r="BT41" s="113" t="n"/>
      <c r="BU41" s="45" t="n"/>
      <c r="BV41" s="113" t="n"/>
      <c r="BW41" s="114">
        <f>SUM(BR41,BT41,BV41)</f>
        <v/>
      </c>
      <c r="BX41" s="45" t="n"/>
      <c r="BY41" s="114">
        <f>BD41 - IF(BP41="Y", 0, BO41) - IF(BX41="Y", 0, BW41)</f>
        <v/>
      </c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</row>
    <row r="42" ht="13.5" customHeight="1">
      <c r="B42" s="47">
        <f>$B$3</f>
        <v/>
      </c>
      <c r="C42" s="48">
        <f>$C$3</f>
        <v/>
      </c>
      <c r="D42" s="40">
        <f>IF(SUM(COUNTIF(H42, "*"), COUNTIF(L42, "*"), COUNTIF(P42, "*"), COUNTIF(T42, "*"), COUNTIF(X42, "*"), COUNTIF(AB42, "*"), COUNTIF(AF42, "*"), COUNTIF(AJ42, "*"), COUNTIF(AN42, "*"), COUNTIF(AR42, "*"), COUNTIF(AV42, "*"), COUNTIF(AZ42, "*"))&gt;0, "Y", "N")</f>
        <v/>
      </c>
      <c r="E42" s="49" t="n"/>
      <c r="F42" s="49" t="n"/>
      <c r="G42" s="59" t="n">
        <v>47027</v>
      </c>
      <c r="H42" s="83" t="n"/>
      <c r="I42" s="49" t="n"/>
      <c r="J42" s="50" t="n"/>
      <c r="K42" s="115" t="n"/>
      <c r="L42" s="83" t="n"/>
      <c r="M42" s="49" t="n"/>
      <c r="N42" s="49" t="n"/>
      <c r="O42" s="115" t="n"/>
      <c r="P42" s="83" t="n"/>
      <c r="Q42" s="49" t="n"/>
      <c r="R42" s="49" t="n"/>
      <c r="S42" s="115" t="n"/>
      <c r="T42" s="83" t="n"/>
      <c r="U42" s="49" t="n"/>
      <c r="V42" s="49" t="n"/>
      <c r="W42" s="116" t="n"/>
      <c r="X42" s="83" t="n"/>
      <c r="Y42" s="49" t="n"/>
      <c r="Z42" s="49" t="n"/>
      <c r="AA42" s="115" t="n"/>
      <c r="AB42" s="83" t="n"/>
      <c r="AC42" s="49" t="n"/>
      <c r="AD42" s="49" t="n"/>
      <c r="AE42" s="115" t="n"/>
      <c r="AF42" s="83" t="n"/>
      <c r="AG42" s="49" t="n"/>
      <c r="AH42" s="49" t="n"/>
      <c r="AI42" s="115" t="n"/>
      <c r="AJ42" s="83" t="n"/>
      <c r="AK42" s="49" t="n"/>
      <c r="AL42" s="49" t="n"/>
      <c r="AM42" s="115" t="n"/>
      <c r="AN42" s="83" t="n"/>
      <c r="AO42" s="49" t="n"/>
      <c r="AP42" s="49" t="n"/>
      <c r="AQ42" s="117" t="n"/>
      <c r="AR42" s="83" t="n"/>
      <c r="AS42" s="49" t="n"/>
      <c r="AT42" s="49" t="n"/>
      <c r="AU42" s="115" t="n"/>
      <c r="AV42" s="83" t="n"/>
      <c r="AW42" s="49" t="n"/>
      <c r="AX42" s="49" t="n"/>
      <c r="AY42" s="115" t="n"/>
      <c r="AZ42" s="83" t="n"/>
      <c r="BA42" s="49" t="n"/>
      <c r="BB42" s="49" t="n"/>
      <c r="BC42" s="115" t="n"/>
      <c r="BD42" s="110">
        <f>SUM(K42,O42,S42,W42,AA42,AE42,AI42,AM42,AQ42,AU42,AY42,BC42)</f>
        <v/>
      </c>
      <c r="BE42" s="45" t="n"/>
      <c r="BF42" s="113" t="n"/>
      <c r="BG42" s="45" t="n"/>
      <c r="BH42" s="113" t="n"/>
      <c r="BI42" s="45" t="n"/>
      <c r="BJ42" s="113" t="n"/>
      <c r="BK42" s="45" t="n"/>
      <c r="BL42" s="113" t="n"/>
      <c r="BM42" s="45" t="n"/>
      <c r="BN42" s="113" t="n"/>
      <c r="BO42" s="114">
        <f>SUM(BF42,BH42,BJ42,BL42,BN42)</f>
        <v/>
      </c>
      <c r="BP42" s="45" t="n"/>
      <c r="BQ42" s="45" t="n"/>
      <c r="BR42" s="113" t="n"/>
      <c r="BS42" s="45" t="n"/>
      <c r="BT42" s="113" t="n"/>
      <c r="BU42" s="45" t="n"/>
      <c r="BV42" s="113" t="n"/>
      <c r="BW42" s="114">
        <f>SUM(BR42,BT42,BV42)</f>
        <v/>
      </c>
      <c r="BX42" s="45" t="n"/>
      <c r="BY42" s="114">
        <f>BD42 - IF(BP42="Y", 0, BO42) - IF(BX42="Y", 0, BW42)</f>
        <v/>
      </c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</row>
    <row r="43" ht="13.5" customHeight="1">
      <c r="B43" s="47">
        <f>$B$3</f>
        <v/>
      </c>
      <c r="C43" s="48">
        <f>$C$3</f>
        <v/>
      </c>
      <c r="D43" s="40">
        <f>IF(SUM(COUNTIF(H43, "*"), COUNTIF(L43, "*"), COUNTIF(P43, "*"), COUNTIF(T43, "*"), COUNTIF(X43, "*"), COUNTIF(AB43, "*"), COUNTIF(AF43, "*"), COUNTIF(AJ43, "*"), COUNTIF(AN43, "*"), COUNTIF(AR43, "*"), COUNTIF(AV43, "*"), COUNTIF(AZ43, "*"))&gt;0, "Y", "N")</f>
        <v/>
      </c>
      <c r="E43" s="49" t="n"/>
      <c r="F43" s="49" t="n"/>
      <c r="G43" s="59" t="n">
        <v>47058</v>
      </c>
      <c r="H43" s="83" t="n"/>
      <c r="I43" s="49" t="n"/>
      <c r="J43" s="50" t="n"/>
      <c r="K43" s="115" t="n"/>
      <c r="L43" s="83" t="n"/>
      <c r="M43" s="49" t="n"/>
      <c r="N43" s="49" t="n"/>
      <c r="O43" s="115" t="n"/>
      <c r="P43" s="83" t="n"/>
      <c r="Q43" s="49" t="n"/>
      <c r="R43" s="49" t="n"/>
      <c r="S43" s="115" t="n"/>
      <c r="T43" s="83" t="n"/>
      <c r="U43" s="49" t="n"/>
      <c r="V43" s="49" t="n"/>
      <c r="W43" s="116" t="n"/>
      <c r="X43" s="83" t="n"/>
      <c r="Y43" s="49" t="n"/>
      <c r="Z43" s="49" t="n"/>
      <c r="AA43" s="115" t="n"/>
      <c r="AB43" s="83" t="n"/>
      <c r="AC43" s="49" t="n"/>
      <c r="AD43" s="49" t="n"/>
      <c r="AE43" s="115" t="n"/>
      <c r="AF43" s="83" t="n"/>
      <c r="AG43" s="49" t="n"/>
      <c r="AH43" s="49" t="n"/>
      <c r="AI43" s="115" t="n"/>
      <c r="AJ43" s="83" t="n"/>
      <c r="AK43" s="49" t="n"/>
      <c r="AL43" s="49" t="n"/>
      <c r="AM43" s="115" t="n"/>
      <c r="AN43" s="83" t="n"/>
      <c r="AO43" s="49" t="n"/>
      <c r="AP43" s="49" t="n"/>
      <c r="AQ43" s="117" t="n"/>
      <c r="AR43" s="83" t="n"/>
      <c r="AS43" s="49" t="n"/>
      <c r="AT43" s="49" t="n"/>
      <c r="AU43" s="115" t="n"/>
      <c r="AV43" s="83" t="n"/>
      <c r="AW43" s="49" t="n"/>
      <c r="AX43" s="49" t="n"/>
      <c r="AY43" s="115" t="n"/>
      <c r="AZ43" s="83" t="n"/>
      <c r="BA43" s="49" t="n"/>
      <c r="BB43" s="49" t="n"/>
      <c r="BC43" s="115" t="n"/>
      <c r="BD43" s="110">
        <f>SUM(K43,O43,S43,W43,AA43,AE43,AI43,AM43,AQ43,AU43,AY43,BC43)</f>
        <v/>
      </c>
      <c r="BE43" s="45" t="n"/>
      <c r="BF43" s="113" t="n"/>
      <c r="BG43" s="45" t="n"/>
      <c r="BH43" s="113" t="n"/>
      <c r="BI43" s="45" t="n"/>
      <c r="BJ43" s="113" t="n"/>
      <c r="BK43" s="45" t="n"/>
      <c r="BL43" s="113" t="n"/>
      <c r="BM43" s="45" t="n"/>
      <c r="BN43" s="113" t="n"/>
      <c r="BO43" s="114">
        <f>SUM(BF43,BH43,BJ43,BL43,BN43)</f>
        <v/>
      </c>
      <c r="BP43" s="45" t="n"/>
      <c r="BQ43" s="45" t="n"/>
      <c r="BR43" s="113" t="n"/>
      <c r="BS43" s="45" t="n"/>
      <c r="BT43" s="113" t="n"/>
      <c r="BU43" s="45" t="n"/>
      <c r="BV43" s="113" t="n"/>
      <c r="BW43" s="114">
        <f>SUM(BR43,BT43,BV43)</f>
        <v/>
      </c>
      <c r="BX43" s="45" t="n"/>
      <c r="BY43" s="114">
        <f>BD43 - IF(BP43="Y", 0, BO43) - IF(BX43="Y", 0, BW43)</f>
        <v/>
      </c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</row>
    <row r="44" ht="13.5" customHeight="1">
      <c r="B44" s="47">
        <f>$B$3</f>
        <v/>
      </c>
      <c r="C44" s="48">
        <f>$C$3</f>
        <v/>
      </c>
      <c r="D44" s="40">
        <f>IF(SUM(COUNTIF(H44, "*"), COUNTIF(L44, "*"), COUNTIF(P44, "*"), COUNTIF(T44, "*"), COUNTIF(X44, "*"), COUNTIF(AB44, "*"), COUNTIF(AF44, "*"), COUNTIF(AJ44, "*"), COUNTIF(AN44, "*"), COUNTIF(AR44, "*"), COUNTIF(AV44, "*"), COUNTIF(AZ44, "*"))&gt;0, "Y", "N")</f>
        <v/>
      </c>
      <c r="E44" s="49" t="n"/>
      <c r="F44" s="49" t="n"/>
      <c r="G44" s="59" t="n">
        <v>47088</v>
      </c>
      <c r="H44" s="83" t="n"/>
      <c r="I44" s="49" t="n"/>
      <c r="J44" s="50" t="n"/>
      <c r="K44" s="115" t="n"/>
      <c r="L44" s="83" t="n"/>
      <c r="M44" s="49" t="n"/>
      <c r="N44" s="49" t="n"/>
      <c r="O44" s="115" t="n"/>
      <c r="P44" s="83" t="n"/>
      <c r="Q44" s="49" t="n"/>
      <c r="R44" s="49" t="n"/>
      <c r="S44" s="115" t="n"/>
      <c r="T44" s="83" t="n"/>
      <c r="U44" s="49" t="n"/>
      <c r="V44" s="49" t="n"/>
      <c r="W44" s="116" t="n"/>
      <c r="X44" s="83" t="n"/>
      <c r="Y44" s="49" t="n"/>
      <c r="Z44" s="49" t="n"/>
      <c r="AA44" s="115" t="n"/>
      <c r="AB44" s="83" t="n"/>
      <c r="AC44" s="49" t="n"/>
      <c r="AD44" s="49" t="n"/>
      <c r="AE44" s="115" t="n"/>
      <c r="AF44" s="83" t="n"/>
      <c r="AG44" s="49" t="n"/>
      <c r="AH44" s="49" t="n"/>
      <c r="AI44" s="115" t="n"/>
      <c r="AJ44" s="83" t="n"/>
      <c r="AK44" s="49" t="n"/>
      <c r="AL44" s="49" t="n"/>
      <c r="AM44" s="115" t="n"/>
      <c r="AN44" s="83" t="n"/>
      <c r="AO44" s="49" t="n"/>
      <c r="AP44" s="49" t="n"/>
      <c r="AQ44" s="117" t="n"/>
      <c r="AR44" s="83" t="n"/>
      <c r="AS44" s="49" t="n"/>
      <c r="AT44" s="49" t="n"/>
      <c r="AU44" s="115" t="n"/>
      <c r="AV44" s="83" t="n"/>
      <c r="AW44" s="49" t="n"/>
      <c r="AX44" s="49" t="n"/>
      <c r="AY44" s="115" t="n"/>
      <c r="AZ44" s="83" t="n"/>
      <c r="BA44" s="49" t="n"/>
      <c r="BB44" s="49" t="n"/>
      <c r="BC44" s="115" t="n"/>
      <c r="BD44" s="110">
        <f>SUM(K44,O44,S44,W44,AA44,AE44,AI44,AM44,AQ44,AU44,AY44,BC44)</f>
        <v/>
      </c>
      <c r="BE44" s="45" t="n"/>
      <c r="BF44" s="113" t="n"/>
      <c r="BG44" s="45" t="n"/>
      <c r="BH44" s="113" t="n"/>
      <c r="BI44" s="45" t="n"/>
      <c r="BJ44" s="113" t="n"/>
      <c r="BK44" s="45" t="n"/>
      <c r="BL44" s="113" t="n"/>
      <c r="BM44" s="45" t="n"/>
      <c r="BN44" s="113" t="n"/>
      <c r="BO44" s="114">
        <f>SUM(BF44,BH44,BJ44,BL44,BN44)</f>
        <v/>
      </c>
      <c r="BP44" s="45" t="n"/>
      <c r="BQ44" s="45" t="n"/>
      <c r="BR44" s="113" t="n"/>
      <c r="BS44" s="45" t="n"/>
      <c r="BT44" s="113" t="n"/>
      <c r="BU44" s="45" t="n"/>
      <c r="BV44" s="113" t="n"/>
      <c r="BW44" s="114">
        <f>SUM(BR44,BT44,BV44)</f>
        <v/>
      </c>
      <c r="BX44" s="45" t="n"/>
      <c r="BY44" s="114">
        <f>BD44 - IF(BP44="Y", 0, BO44) - IF(BX44="Y", 0, BW44)</f>
        <v/>
      </c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</row>
    <row r="45" ht="13.5" customHeight="1">
      <c r="B45" s="47">
        <f>$B$3</f>
        <v/>
      </c>
      <c r="C45" s="48">
        <f>$C$3</f>
        <v/>
      </c>
      <c r="D45" s="40">
        <f>IF(SUM(COUNTIF(H45, "*"), COUNTIF(L45, "*"), COUNTIF(P45, "*"), COUNTIF(T45, "*"), COUNTIF(X45, "*"), COUNTIF(AB45, "*"), COUNTIF(AF45, "*"), COUNTIF(AJ45, "*"), COUNTIF(AN45, "*"), COUNTIF(AR45, "*"), COUNTIF(AV45, "*"), COUNTIF(AZ45, "*"))&gt;0, "Y", "N")</f>
        <v/>
      </c>
      <c r="E45" s="49" t="n"/>
      <c r="F45" s="49" t="n"/>
      <c r="G45" s="59" t="n">
        <v>47119</v>
      </c>
      <c r="H45" s="83" t="n"/>
      <c r="I45" s="49" t="n"/>
      <c r="J45" s="50" t="n"/>
      <c r="K45" s="115" t="n"/>
      <c r="L45" s="83" t="n"/>
      <c r="M45" s="49" t="n"/>
      <c r="N45" s="49" t="n"/>
      <c r="O45" s="115" t="n"/>
      <c r="P45" s="83" t="n"/>
      <c r="Q45" s="49" t="n"/>
      <c r="R45" s="49" t="n"/>
      <c r="S45" s="115" t="n"/>
      <c r="T45" s="83" t="n"/>
      <c r="U45" s="49" t="n"/>
      <c r="V45" s="49" t="n"/>
      <c r="W45" s="116" t="n"/>
      <c r="X45" s="83" t="n"/>
      <c r="Y45" s="49" t="n"/>
      <c r="Z45" s="49" t="n"/>
      <c r="AA45" s="115" t="n"/>
      <c r="AB45" s="83" t="n"/>
      <c r="AC45" s="49" t="n"/>
      <c r="AD45" s="49" t="n"/>
      <c r="AE45" s="115" t="n"/>
      <c r="AF45" s="83" t="n"/>
      <c r="AG45" s="49" t="n"/>
      <c r="AH45" s="49" t="n"/>
      <c r="AI45" s="115" t="n"/>
      <c r="AJ45" s="83" t="n"/>
      <c r="AK45" s="49" t="n"/>
      <c r="AL45" s="49" t="n"/>
      <c r="AM45" s="115" t="n"/>
      <c r="AN45" s="83" t="n"/>
      <c r="AO45" s="49" t="n"/>
      <c r="AP45" s="49" t="n"/>
      <c r="AQ45" s="117" t="n"/>
      <c r="AR45" s="83" t="n"/>
      <c r="AS45" s="49" t="n"/>
      <c r="AT45" s="49" t="n"/>
      <c r="AU45" s="115" t="n"/>
      <c r="AV45" s="83" t="n"/>
      <c r="AW45" s="49" t="n"/>
      <c r="AX45" s="49" t="n"/>
      <c r="AY45" s="115" t="n"/>
      <c r="AZ45" s="83" t="n"/>
      <c r="BA45" s="49" t="n"/>
      <c r="BB45" s="49" t="n"/>
      <c r="BC45" s="115" t="n"/>
      <c r="BD45" s="110">
        <f>SUM(K45,O45,S45,W45,AA45,AE45,AI45,AM45,AQ45,AU45,AY45,BC45)</f>
        <v/>
      </c>
      <c r="BE45" s="45" t="n"/>
      <c r="BF45" s="113" t="n"/>
      <c r="BG45" s="45" t="n"/>
      <c r="BH45" s="113" t="n"/>
      <c r="BI45" s="45" t="n"/>
      <c r="BJ45" s="113" t="n"/>
      <c r="BK45" s="45" t="n"/>
      <c r="BL45" s="113" t="n"/>
      <c r="BM45" s="45" t="n"/>
      <c r="BN45" s="113" t="n"/>
      <c r="BO45" s="114">
        <f>SUM(BF45,BH45,BJ45,BL45,BN45)</f>
        <v/>
      </c>
      <c r="BP45" s="45" t="n"/>
      <c r="BQ45" s="45" t="n"/>
      <c r="BR45" s="113" t="n"/>
      <c r="BS45" s="45" t="n"/>
      <c r="BT45" s="113" t="n"/>
      <c r="BU45" s="45" t="n"/>
      <c r="BV45" s="113" t="n"/>
      <c r="BW45" s="114">
        <f>SUM(BR45,BT45,BV45)</f>
        <v/>
      </c>
      <c r="BX45" s="45" t="n"/>
      <c r="BY45" s="114">
        <f>BD45 - IF(BP45="Y", 0, BO45) - IF(BX45="Y", 0, BW45)</f>
        <v/>
      </c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</row>
    <row r="46" ht="13.5" customHeight="1">
      <c r="B46" s="47">
        <f>$B$3</f>
        <v/>
      </c>
      <c r="C46" s="48">
        <f>$C$3</f>
        <v/>
      </c>
      <c r="D46" s="40">
        <f>IF(SUM(COUNTIF(H46, "*"), COUNTIF(L46, "*"), COUNTIF(P46, "*"), COUNTIF(T46, "*"), COUNTIF(X46, "*"), COUNTIF(AB46, "*"), COUNTIF(AF46, "*"), COUNTIF(AJ46, "*"), COUNTIF(AN46, "*"), COUNTIF(AR46, "*"), COUNTIF(AV46, "*"), COUNTIF(AZ46, "*"))&gt;0, "Y", "N")</f>
        <v/>
      </c>
      <c r="E46" s="49" t="n"/>
      <c r="F46" s="49" t="n"/>
      <c r="G46" s="59" t="n">
        <v>47150</v>
      </c>
      <c r="H46" s="83" t="n"/>
      <c r="I46" s="49" t="n"/>
      <c r="J46" s="50" t="n"/>
      <c r="K46" s="115" t="n"/>
      <c r="L46" s="83" t="n"/>
      <c r="M46" s="49" t="n"/>
      <c r="N46" s="49" t="n"/>
      <c r="O46" s="115" t="n"/>
      <c r="P46" s="83" t="n"/>
      <c r="Q46" s="49" t="n"/>
      <c r="R46" s="49" t="n"/>
      <c r="S46" s="115" t="n"/>
      <c r="T46" s="83" t="n"/>
      <c r="U46" s="49" t="n"/>
      <c r="V46" s="49" t="n"/>
      <c r="W46" s="116" t="n"/>
      <c r="X46" s="83" t="n"/>
      <c r="Y46" s="49" t="n"/>
      <c r="Z46" s="49" t="n"/>
      <c r="AA46" s="115" t="n"/>
      <c r="AB46" s="83" t="n"/>
      <c r="AC46" s="49" t="n"/>
      <c r="AD46" s="49" t="n"/>
      <c r="AE46" s="115" t="n"/>
      <c r="AF46" s="83" t="n"/>
      <c r="AG46" s="49" t="n"/>
      <c r="AH46" s="49" t="n"/>
      <c r="AI46" s="115" t="n"/>
      <c r="AJ46" s="83" t="n"/>
      <c r="AK46" s="49" t="n"/>
      <c r="AL46" s="49" t="n"/>
      <c r="AM46" s="115" t="n"/>
      <c r="AN46" s="83" t="n"/>
      <c r="AO46" s="49" t="n"/>
      <c r="AP46" s="49" t="n"/>
      <c r="AQ46" s="117" t="n"/>
      <c r="AR46" s="83" t="n"/>
      <c r="AS46" s="49" t="n"/>
      <c r="AT46" s="49" t="n"/>
      <c r="AU46" s="115" t="n"/>
      <c r="AV46" s="83" t="n"/>
      <c r="AW46" s="49" t="n"/>
      <c r="AX46" s="49" t="n"/>
      <c r="AY46" s="115" t="n"/>
      <c r="AZ46" s="83" t="n"/>
      <c r="BA46" s="49" t="n"/>
      <c r="BB46" s="49" t="n"/>
      <c r="BC46" s="115" t="n"/>
      <c r="BD46" s="110">
        <f>SUM(K46,O46,S46,W46,AA46,AE46,AI46,AM46,AQ46,AU46,AY46,BC46)</f>
        <v/>
      </c>
      <c r="BE46" s="45" t="n"/>
      <c r="BF46" s="113" t="n"/>
      <c r="BG46" s="45" t="n"/>
      <c r="BH46" s="113" t="n"/>
      <c r="BI46" s="45" t="n"/>
      <c r="BJ46" s="113" t="n"/>
      <c r="BK46" s="45" t="n"/>
      <c r="BL46" s="113" t="n"/>
      <c r="BM46" s="45" t="n"/>
      <c r="BN46" s="113" t="n"/>
      <c r="BO46" s="114">
        <f>SUM(BF46,BH46,BJ46,BL46,BN46)</f>
        <v/>
      </c>
      <c r="BP46" s="45" t="n"/>
      <c r="BQ46" s="45" t="n"/>
      <c r="BR46" s="113" t="n"/>
      <c r="BS46" s="45" t="n"/>
      <c r="BT46" s="113" t="n"/>
      <c r="BU46" s="45" t="n"/>
      <c r="BV46" s="113" t="n"/>
      <c r="BW46" s="114">
        <f>SUM(BR46,BT46,BV46)</f>
        <v/>
      </c>
      <c r="BX46" s="45" t="n"/>
      <c r="BY46" s="114">
        <f>BD46 - IF(BP46="Y", 0, BO46) - IF(BX46="Y", 0, BW46)</f>
        <v/>
      </c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</row>
    <row r="47" ht="13.5" customHeight="1">
      <c r="B47" s="47">
        <f>$B$3</f>
        <v/>
      </c>
      <c r="C47" s="48">
        <f>$C$3</f>
        <v/>
      </c>
      <c r="D47" s="40">
        <f>IF(SUM(COUNTIF(H47, "*"), COUNTIF(L47, "*"), COUNTIF(P47, "*"), COUNTIF(T47, "*"), COUNTIF(X47, "*"), COUNTIF(AB47, "*"), COUNTIF(AF47, "*"), COUNTIF(AJ47, "*"), COUNTIF(AN47, "*"), COUNTIF(AR47, "*"), COUNTIF(AV47, "*"), COUNTIF(AZ47, "*"))&gt;0, "Y", "N")</f>
        <v/>
      </c>
      <c r="E47" s="49" t="n"/>
      <c r="F47" s="49" t="n"/>
      <c r="G47" s="59" t="n">
        <v>47178</v>
      </c>
      <c r="H47" s="83" t="n"/>
      <c r="I47" s="49" t="n"/>
      <c r="J47" s="50" t="n"/>
      <c r="K47" s="115" t="n"/>
      <c r="L47" s="83" t="n"/>
      <c r="M47" s="49" t="n"/>
      <c r="N47" s="49" t="n"/>
      <c r="O47" s="115" t="n"/>
      <c r="P47" s="83" t="n"/>
      <c r="Q47" s="49" t="n"/>
      <c r="R47" s="49" t="n"/>
      <c r="S47" s="115" t="n"/>
      <c r="T47" s="83" t="n"/>
      <c r="U47" s="49" t="n"/>
      <c r="V47" s="49" t="n"/>
      <c r="W47" s="116" t="n"/>
      <c r="X47" s="83" t="n"/>
      <c r="Y47" s="49" t="n"/>
      <c r="Z47" s="49" t="n"/>
      <c r="AA47" s="115" t="n"/>
      <c r="AB47" s="83" t="n"/>
      <c r="AC47" s="49" t="n"/>
      <c r="AD47" s="49" t="n"/>
      <c r="AE47" s="115" t="n"/>
      <c r="AF47" s="83" t="n"/>
      <c r="AG47" s="49" t="n"/>
      <c r="AH47" s="49" t="n"/>
      <c r="AI47" s="115" t="n"/>
      <c r="AJ47" s="83" t="n"/>
      <c r="AK47" s="49" t="n"/>
      <c r="AL47" s="49" t="n"/>
      <c r="AM47" s="115" t="n"/>
      <c r="AN47" s="83" t="n"/>
      <c r="AO47" s="49" t="n"/>
      <c r="AP47" s="49" t="n"/>
      <c r="AQ47" s="117" t="n"/>
      <c r="AR47" s="83" t="n"/>
      <c r="AS47" s="49" t="n"/>
      <c r="AT47" s="49" t="n"/>
      <c r="AU47" s="115" t="n"/>
      <c r="AV47" s="83" t="n"/>
      <c r="AW47" s="49" t="n"/>
      <c r="AX47" s="49" t="n"/>
      <c r="AY47" s="115" t="n"/>
      <c r="AZ47" s="83" t="n"/>
      <c r="BA47" s="49" t="n"/>
      <c r="BB47" s="49" t="n"/>
      <c r="BC47" s="115" t="n"/>
      <c r="BD47" s="110">
        <f>SUM(K47,O47,S47,W47,AA47,AE47,AI47,AM47,AQ47,AU47,AY47,BC47)</f>
        <v/>
      </c>
      <c r="BE47" s="45" t="n"/>
      <c r="BF47" s="113" t="n"/>
      <c r="BG47" s="45" t="n"/>
      <c r="BH47" s="113" t="n"/>
      <c r="BI47" s="45" t="n"/>
      <c r="BJ47" s="113" t="n"/>
      <c r="BK47" s="45" t="n"/>
      <c r="BL47" s="113" t="n"/>
      <c r="BM47" s="45" t="n"/>
      <c r="BN47" s="113" t="n"/>
      <c r="BO47" s="114">
        <f>SUM(BF47,BH47,BJ47,BL47,BN47)</f>
        <v/>
      </c>
      <c r="BP47" s="45" t="n"/>
      <c r="BQ47" s="45" t="n"/>
      <c r="BR47" s="113" t="n"/>
      <c r="BS47" s="45" t="n"/>
      <c r="BT47" s="113" t="n"/>
      <c r="BU47" s="45" t="n"/>
      <c r="BV47" s="113" t="n"/>
      <c r="BW47" s="114">
        <f>SUM(BR47,BT47,BV47)</f>
        <v/>
      </c>
      <c r="BX47" s="45" t="n"/>
      <c r="BY47" s="114">
        <f>BD47 - IF(BP47="Y", 0, BO47) - IF(BX47="Y", 0, BW47)</f>
        <v/>
      </c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</row>
    <row r="48" ht="13.5" customHeight="1">
      <c r="B48" s="47">
        <f>$B$3</f>
        <v/>
      </c>
      <c r="C48" s="48">
        <f>$C$3</f>
        <v/>
      </c>
      <c r="D48" s="40">
        <f>IF(SUM(COUNTIF(H48, "*"), COUNTIF(L48, "*"), COUNTIF(P48, "*"), COUNTIF(T48, "*"), COUNTIF(X48, "*"), COUNTIF(AB48, "*"), COUNTIF(AF48, "*"), COUNTIF(AJ48, "*"), COUNTIF(AN48, "*"), COUNTIF(AR48, "*"), COUNTIF(AV48, "*"), COUNTIF(AZ48, "*"))&gt;0, "Y", "N")</f>
        <v/>
      </c>
      <c r="E48" s="49" t="n"/>
      <c r="F48" s="49" t="n"/>
      <c r="G48" s="59" t="n">
        <v>47209</v>
      </c>
      <c r="H48" s="83" t="n"/>
      <c r="I48" s="49" t="n"/>
      <c r="J48" s="50" t="n"/>
      <c r="K48" s="115" t="n"/>
      <c r="L48" s="83" t="n"/>
      <c r="M48" s="49" t="n"/>
      <c r="N48" s="49" t="n"/>
      <c r="O48" s="115" t="n"/>
      <c r="P48" s="83" t="n"/>
      <c r="Q48" s="49" t="n"/>
      <c r="R48" s="49" t="n"/>
      <c r="S48" s="115" t="n"/>
      <c r="T48" s="83" t="n"/>
      <c r="U48" s="49" t="n"/>
      <c r="V48" s="49" t="n"/>
      <c r="W48" s="116" t="n"/>
      <c r="X48" s="83" t="n"/>
      <c r="Y48" s="49" t="n"/>
      <c r="Z48" s="49" t="n"/>
      <c r="AA48" s="115" t="n"/>
      <c r="AB48" s="83" t="n"/>
      <c r="AC48" s="49" t="n"/>
      <c r="AD48" s="49" t="n"/>
      <c r="AE48" s="115" t="n"/>
      <c r="AF48" s="83" t="n"/>
      <c r="AG48" s="49" t="n"/>
      <c r="AH48" s="49" t="n"/>
      <c r="AI48" s="115" t="n"/>
      <c r="AJ48" s="83" t="n"/>
      <c r="AK48" s="49" t="n"/>
      <c r="AL48" s="49" t="n"/>
      <c r="AM48" s="115" t="n"/>
      <c r="AN48" s="83" t="n"/>
      <c r="AO48" s="49" t="n"/>
      <c r="AP48" s="49" t="n"/>
      <c r="AQ48" s="117" t="n"/>
      <c r="AR48" s="83" t="n"/>
      <c r="AS48" s="49" t="n"/>
      <c r="AT48" s="49" t="n"/>
      <c r="AU48" s="115" t="n"/>
      <c r="AV48" s="83" t="n"/>
      <c r="AW48" s="49" t="n"/>
      <c r="AX48" s="49" t="n"/>
      <c r="AY48" s="115" t="n"/>
      <c r="AZ48" s="83" t="n"/>
      <c r="BA48" s="49" t="n"/>
      <c r="BB48" s="49" t="n"/>
      <c r="BC48" s="115" t="n"/>
      <c r="BD48" s="110">
        <f>SUM(K48,O48,S48,W48,AA48,AE48,AI48,AM48,AQ48,AU48,AY48,BC48)</f>
        <v/>
      </c>
      <c r="BE48" s="45" t="n"/>
      <c r="BF48" s="113" t="n"/>
      <c r="BG48" s="45" t="n"/>
      <c r="BH48" s="113" t="n"/>
      <c r="BI48" s="45" t="n"/>
      <c r="BJ48" s="113" t="n"/>
      <c r="BK48" s="45" t="n"/>
      <c r="BL48" s="113" t="n"/>
      <c r="BM48" s="45" t="n"/>
      <c r="BN48" s="113" t="n"/>
      <c r="BO48" s="114">
        <f>SUM(BF48,BH48,BJ48,BL48,BN48)</f>
        <v/>
      </c>
      <c r="BP48" s="45" t="n"/>
      <c r="BQ48" s="45" t="n"/>
      <c r="BR48" s="113" t="n"/>
      <c r="BS48" s="45" t="n"/>
      <c r="BT48" s="113" t="n"/>
      <c r="BU48" s="45" t="n"/>
      <c r="BV48" s="113" t="n"/>
      <c r="BW48" s="114">
        <f>SUM(BR48,BT48,BV48)</f>
        <v/>
      </c>
      <c r="BX48" s="45" t="n"/>
      <c r="BY48" s="114">
        <f>BD48 - IF(BP48="Y", 0, BO48) - IF(BX48="Y", 0, BW48)</f>
        <v/>
      </c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</row>
    <row r="49" ht="13.5" customHeight="1">
      <c r="B49" s="47">
        <f>$B$3</f>
        <v/>
      </c>
      <c r="C49" s="48">
        <f>$C$3</f>
        <v/>
      </c>
      <c r="D49" s="40">
        <f>IF(SUM(COUNTIF(H49, "*"), COUNTIF(L49, "*"), COUNTIF(P49, "*"), COUNTIF(T49, "*"), COUNTIF(X49, "*"), COUNTIF(AB49, "*"), COUNTIF(AF49, "*"), COUNTIF(AJ49, "*"), COUNTIF(AN49, "*"), COUNTIF(AR49, "*"), COUNTIF(AV49, "*"), COUNTIF(AZ49, "*"))&gt;0, "Y", "N")</f>
        <v/>
      </c>
      <c r="E49" s="49" t="n"/>
      <c r="F49" s="49" t="n"/>
      <c r="G49" s="59" t="n">
        <v>47239</v>
      </c>
      <c r="H49" s="83" t="n"/>
      <c r="I49" s="49" t="n"/>
      <c r="J49" s="50" t="n"/>
      <c r="K49" s="115" t="n"/>
      <c r="L49" s="83" t="n"/>
      <c r="M49" s="49" t="n"/>
      <c r="N49" s="49" t="n"/>
      <c r="O49" s="115" t="n"/>
      <c r="P49" s="83" t="n"/>
      <c r="Q49" s="49" t="n"/>
      <c r="R49" s="49" t="n"/>
      <c r="S49" s="115" t="n"/>
      <c r="T49" s="83" t="n"/>
      <c r="U49" s="49" t="n"/>
      <c r="V49" s="49" t="n"/>
      <c r="W49" s="116" t="n"/>
      <c r="X49" s="83" t="n"/>
      <c r="Y49" s="49" t="n"/>
      <c r="Z49" s="49" t="n"/>
      <c r="AA49" s="115" t="n"/>
      <c r="AB49" s="83" t="n"/>
      <c r="AC49" s="49" t="n"/>
      <c r="AD49" s="49" t="n"/>
      <c r="AE49" s="115" t="n"/>
      <c r="AF49" s="83" t="n"/>
      <c r="AG49" s="49" t="n"/>
      <c r="AH49" s="49" t="n"/>
      <c r="AI49" s="115" t="n"/>
      <c r="AJ49" s="83" t="n"/>
      <c r="AK49" s="49" t="n"/>
      <c r="AL49" s="49" t="n"/>
      <c r="AM49" s="115" t="n"/>
      <c r="AN49" s="83" t="n"/>
      <c r="AO49" s="49" t="n"/>
      <c r="AP49" s="49" t="n"/>
      <c r="AQ49" s="117" t="n"/>
      <c r="AR49" s="83" t="n"/>
      <c r="AS49" s="49" t="n"/>
      <c r="AT49" s="49" t="n"/>
      <c r="AU49" s="115" t="n"/>
      <c r="AV49" s="83" t="n"/>
      <c r="AW49" s="49" t="n"/>
      <c r="AX49" s="49" t="n"/>
      <c r="AY49" s="115" t="n"/>
      <c r="AZ49" s="83" t="n"/>
      <c r="BA49" s="49" t="n"/>
      <c r="BB49" s="49" t="n"/>
      <c r="BC49" s="115" t="n"/>
      <c r="BD49" s="110">
        <f>SUM(K49,O49,S49,W49,AA49,AE49,AI49,AM49,AQ49,AU49,AY49,BC49)</f>
        <v/>
      </c>
      <c r="BE49" s="45" t="n"/>
      <c r="BF49" s="113" t="n"/>
      <c r="BG49" s="45" t="n"/>
      <c r="BH49" s="113" t="n"/>
      <c r="BI49" s="45" t="n"/>
      <c r="BJ49" s="113" t="n"/>
      <c r="BK49" s="45" t="n"/>
      <c r="BL49" s="113" t="n"/>
      <c r="BM49" s="45" t="n"/>
      <c r="BN49" s="113" t="n"/>
      <c r="BO49" s="114">
        <f>SUM(BF49,BH49,BJ49,BL49,BN49)</f>
        <v/>
      </c>
      <c r="BP49" s="45" t="n"/>
      <c r="BQ49" s="45" t="n"/>
      <c r="BR49" s="113" t="n"/>
      <c r="BS49" s="45" t="n"/>
      <c r="BT49" s="113" t="n"/>
      <c r="BU49" s="45" t="n"/>
      <c r="BV49" s="113" t="n"/>
      <c r="BW49" s="114">
        <f>SUM(BR49,BT49,BV49)</f>
        <v/>
      </c>
      <c r="BX49" s="45" t="n"/>
      <c r="BY49" s="114">
        <f>BD49 - IF(BP49="Y", 0, BO49) - IF(BX49="Y", 0, BW49)</f>
        <v/>
      </c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</row>
    <row r="50" ht="13.5" customHeight="1">
      <c r="B50" s="47">
        <f>$B$3</f>
        <v/>
      </c>
      <c r="C50" s="48">
        <f>$C$3</f>
        <v/>
      </c>
      <c r="D50" s="40">
        <f>IF(SUM(COUNTIF(H50, "*"), COUNTIF(L50, "*"), COUNTIF(P50, "*"), COUNTIF(T50, "*"), COUNTIF(X50, "*"), COUNTIF(AB50, "*"), COUNTIF(AF50, "*"), COUNTIF(AJ50, "*"), COUNTIF(AN50, "*"), COUNTIF(AR50, "*"), COUNTIF(AV50, "*"), COUNTIF(AZ50, "*"))&gt;0, "Y", "N")</f>
        <v/>
      </c>
      <c r="E50" s="49" t="n"/>
      <c r="F50" s="49" t="n"/>
      <c r="G50" s="59" t="n">
        <v>47270</v>
      </c>
      <c r="H50" s="83" t="n"/>
      <c r="I50" s="49" t="n"/>
      <c r="J50" s="50" t="n"/>
      <c r="K50" s="115" t="n"/>
      <c r="L50" s="83" t="n"/>
      <c r="M50" s="49" t="n"/>
      <c r="N50" s="49" t="n"/>
      <c r="O50" s="115" t="n"/>
      <c r="P50" s="83" t="n"/>
      <c r="Q50" s="49" t="n"/>
      <c r="R50" s="49" t="n"/>
      <c r="S50" s="115" t="n"/>
      <c r="T50" s="83" t="n"/>
      <c r="U50" s="49" t="n"/>
      <c r="V50" s="49" t="n"/>
      <c r="W50" s="116" t="n"/>
      <c r="X50" s="83" t="n"/>
      <c r="Y50" s="49" t="n"/>
      <c r="Z50" s="49" t="n"/>
      <c r="AA50" s="115" t="n"/>
      <c r="AB50" s="83" t="n"/>
      <c r="AC50" s="49" t="n"/>
      <c r="AD50" s="49" t="n"/>
      <c r="AE50" s="115" t="n"/>
      <c r="AF50" s="83" t="n"/>
      <c r="AG50" s="49" t="n"/>
      <c r="AH50" s="49" t="n"/>
      <c r="AI50" s="115" t="n"/>
      <c r="AJ50" s="83" t="n"/>
      <c r="AK50" s="49" t="n"/>
      <c r="AL50" s="49" t="n"/>
      <c r="AM50" s="115" t="n"/>
      <c r="AN50" s="83" t="n"/>
      <c r="AO50" s="49" t="n"/>
      <c r="AP50" s="49" t="n"/>
      <c r="AQ50" s="117" t="n"/>
      <c r="AR50" s="83" t="n"/>
      <c r="AS50" s="49" t="n"/>
      <c r="AT50" s="49" t="n"/>
      <c r="AU50" s="115" t="n"/>
      <c r="AV50" s="83" t="n"/>
      <c r="AW50" s="49" t="n"/>
      <c r="AX50" s="49" t="n"/>
      <c r="AY50" s="115" t="n"/>
      <c r="AZ50" s="83" t="n"/>
      <c r="BA50" s="49" t="n"/>
      <c r="BB50" s="49" t="n"/>
      <c r="BC50" s="115" t="n"/>
      <c r="BD50" s="110">
        <f>SUM(K50,O50,S50,W50,AA50,AE50,AI50,AM50,AQ50,AU50,AY50,BC50)</f>
        <v/>
      </c>
      <c r="BE50" s="45" t="n"/>
      <c r="BF50" s="113" t="n"/>
      <c r="BG50" s="45" t="n"/>
      <c r="BH50" s="113" t="n"/>
      <c r="BI50" s="45" t="n"/>
      <c r="BJ50" s="113" t="n"/>
      <c r="BK50" s="45" t="n"/>
      <c r="BL50" s="113" t="n"/>
      <c r="BM50" s="45" t="n"/>
      <c r="BN50" s="113" t="n"/>
      <c r="BO50" s="114">
        <f>SUM(BF50,BH50,BJ50,BL50,BN50)</f>
        <v/>
      </c>
      <c r="BP50" s="45" t="n"/>
      <c r="BQ50" s="45" t="n"/>
      <c r="BR50" s="113" t="n"/>
      <c r="BS50" s="45" t="n"/>
      <c r="BT50" s="113" t="n"/>
      <c r="BU50" s="45" t="n"/>
      <c r="BV50" s="113" t="n"/>
      <c r="BW50" s="114">
        <f>SUM(BR50,BT50,BV50)</f>
        <v/>
      </c>
      <c r="BX50" s="45" t="n"/>
      <c r="BY50" s="114">
        <f>BD50 - IF(BP50="Y", 0, BO50) - IF(BX50="Y", 0, BW50)</f>
        <v/>
      </c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</row>
    <row r="51" ht="13.5" customHeight="1">
      <c r="B51" s="47">
        <f>$B$3</f>
        <v/>
      </c>
      <c r="C51" s="48">
        <f>$C$3</f>
        <v/>
      </c>
      <c r="D51" s="40">
        <f>IF(SUM(COUNTIF(H51, "*"), COUNTIF(L51, "*"), COUNTIF(P51, "*"), COUNTIF(T51, "*"), COUNTIF(X51, "*"), COUNTIF(AB51, "*"), COUNTIF(AF51, "*"), COUNTIF(AJ51, "*"), COUNTIF(AN51, "*"), COUNTIF(AR51, "*"), COUNTIF(AV51, "*"), COUNTIF(AZ51, "*"))&gt;0, "Y", "N")</f>
        <v/>
      </c>
      <c r="E51" s="49" t="n"/>
      <c r="F51" s="49" t="n"/>
      <c r="G51" s="59" t="n">
        <v>47300</v>
      </c>
      <c r="H51" s="83" t="n"/>
      <c r="I51" s="49" t="n"/>
      <c r="J51" s="50" t="n"/>
      <c r="K51" s="115" t="n"/>
      <c r="L51" s="83" t="n"/>
      <c r="M51" s="49" t="n"/>
      <c r="N51" s="49" t="n"/>
      <c r="O51" s="115" t="n"/>
      <c r="P51" s="83" t="n"/>
      <c r="Q51" s="49" t="n"/>
      <c r="R51" s="49" t="n"/>
      <c r="S51" s="115" t="n"/>
      <c r="T51" s="83" t="n"/>
      <c r="U51" s="49" t="n"/>
      <c r="V51" s="49" t="n"/>
      <c r="W51" s="116" t="n"/>
      <c r="X51" s="83" t="n"/>
      <c r="Y51" s="49" t="n"/>
      <c r="Z51" s="49" t="n"/>
      <c r="AA51" s="115" t="n"/>
      <c r="AB51" s="83" t="n"/>
      <c r="AC51" s="49" t="n"/>
      <c r="AD51" s="49" t="n"/>
      <c r="AE51" s="115" t="n"/>
      <c r="AF51" s="83" t="n"/>
      <c r="AG51" s="49" t="n"/>
      <c r="AH51" s="49" t="n"/>
      <c r="AI51" s="115" t="n"/>
      <c r="AJ51" s="83" t="n"/>
      <c r="AK51" s="49" t="n"/>
      <c r="AL51" s="49" t="n"/>
      <c r="AM51" s="115" t="n"/>
      <c r="AN51" s="83" t="n"/>
      <c r="AO51" s="49" t="n"/>
      <c r="AP51" s="49" t="n"/>
      <c r="AQ51" s="117" t="n"/>
      <c r="AR51" s="83" t="n"/>
      <c r="AS51" s="49" t="n"/>
      <c r="AT51" s="49" t="n"/>
      <c r="AU51" s="115" t="n"/>
      <c r="AV51" s="83" t="n"/>
      <c r="AW51" s="49" t="n"/>
      <c r="AX51" s="49" t="n"/>
      <c r="AY51" s="115" t="n"/>
      <c r="AZ51" s="83" t="n"/>
      <c r="BA51" s="49" t="n"/>
      <c r="BB51" s="49" t="n"/>
      <c r="BC51" s="115" t="n"/>
      <c r="BD51" s="110">
        <f>SUM(K51,O51,S51,W51,AA51,AE51,AI51,AM51,AQ51,AU51,AY51,BC51)</f>
        <v/>
      </c>
      <c r="BE51" s="45" t="n"/>
      <c r="BF51" s="113" t="n"/>
      <c r="BG51" s="45" t="n"/>
      <c r="BH51" s="113" t="n"/>
      <c r="BI51" s="45" t="n"/>
      <c r="BJ51" s="113" t="n"/>
      <c r="BK51" s="45" t="n"/>
      <c r="BL51" s="113" t="n"/>
      <c r="BM51" s="45" t="n"/>
      <c r="BN51" s="113" t="n"/>
      <c r="BO51" s="114">
        <f>SUM(BF51,BH51,BJ51,BL51,BN51)</f>
        <v/>
      </c>
      <c r="BP51" s="45" t="n"/>
      <c r="BQ51" s="45" t="n"/>
      <c r="BR51" s="113" t="n"/>
      <c r="BS51" s="45" t="n"/>
      <c r="BT51" s="113" t="n"/>
      <c r="BU51" s="45" t="n"/>
      <c r="BV51" s="113" t="n"/>
      <c r="BW51" s="114">
        <f>SUM(BR51,BT51,BV51)</f>
        <v/>
      </c>
      <c r="BX51" s="45" t="n"/>
      <c r="BY51" s="114">
        <f>BD51 - IF(BP51="Y", 0, BO51) - IF(BX51="Y", 0, BW51)</f>
        <v/>
      </c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</row>
    <row r="52" ht="13.5" customHeight="1">
      <c r="B52" s="47">
        <f>$B$3</f>
        <v/>
      </c>
      <c r="C52" s="48">
        <f>$C$3</f>
        <v/>
      </c>
      <c r="D52" s="40">
        <f>IF(SUM(COUNTIF(H52, "*"), COUNTIF(L52, "*"), COUNTIF(P52, "*"), COUNTIF(T52, "*"), COUNTIF(X52, "*"), COUNTIF(AB52, "*"), COUNTIF(AF52, "*"), COUNTIF(AJ52, "*"), COUNTIF(AN52, "*"), COUNTIF(AR52, "*"), COUNTIF(AV52, "*"), COUNTIF(AZ52, "*"))&gt;0, "Y", "N")</f>
        <v/>
      </c>
      <c r="E52" s="49" t="n"/>
      <c r="F52" s="49" t="n"/>
      <c r="G52" s="59" t="n">
        <v>47331</v>
      </c>
      <c r="H52" s="83" t="n"/>
      <c r="I52" s="49" t="n"/>
      <c r="J52" s="50" t="n"/>
      <c r="K52" s="115" t="n"/>
      <c r="L52" s="83" t="n"/>
      <c r="M52" s="49" t="n"/>
      <c r="N52" s="49" t="n"/>
      <c r="O52" s="115" t="n"/>
      <c r="P52" s="83" t="n"/>
      <c r="Q52" s="49" t="n"/>
      <c r="R52" s="49" t="n"/>
      <c r="S52" s="115" t="n"/>
      <c r="T52" s="83" t="n"/>
      <c r="U52" s="49" t="n"/>
      <c r="V52" s="49" t="n"/>
      <c r="W52" s="116" t="n"/>
      <c r="X52" s="83" t="n"/>
      <c r="Y52" s="49" t="n"/>
      <c r="Z52" s="49" t="n"/>
      <c r="AA52" s="115" t="n"/>
      <c r="AB52" s="83" t="n"/>
      <c r="AC52" s="49" t="n"/>
      <c r="AD52" s="49" t="n"/>
      <c r="AE52" s="115" t="n"/>
      <c r="AF52" s="83" t="n"/>
      <c r="AG52" s="49" t="n"/>
      <c r="AH52" s="49" t="n"/>
      <c r="AI52" s="115" t="n"/>
      <c r="AJ52" s="83" t="n"/>
      <c r="AK52" s="49" t="n"/>
      <c r="AL52" s="49" t="n"/>
      <c r="AM52" s="115" t="n"/>
      <c r="AN52" s="83" t="n"/>
      <c r="AO52" s="49" t="n"/>
      <c r="AP52" s="49" t="n"/>
      <c r="AQ52" s="117" t="n"/>
      <c r="AR52" s="83" t="n"/>
      <c r="AS52" s="49" t="n"/>
      <c r="AT52" s="49" t="n"/>
      <c r="AU52" s="115" t="n"/>
      <c r="AV52" s="83" t="n"/>
      <c r="AW52" s="49" t="n"/>
      <c r="AX52" s="49" t="n"/>
      <c r="AY52" s="115" t="n"/>
      <c r="AZ52" s="83" t="n"/>
      <c r="BA52" s="49" t="n"/>
      <c r="BB52" s="49" t="n"/>
      <c r="BC52" s="115" t="n"/>
      <c r="BD52" s="110">
        <f>SUM(K52,O52,S52,W52,AA52,AE52,AI52,AM52,AQ52,AU52,AY52,BC52)</f>
        <v/>
      </c>
      <c r="BE52" s="45" t="n"/>
      <c r="BF52" s="113" t="n"/>
      <c r="BG52" s="45" t="n"/>
      <c r="BH52" s="113" t="n"/>
      <c r="BI52" s="45" t="n"/>
      <c r="BJ52" s="113" t="n"/>
      <c r="BK52" s="45" t="n"/>
      <c r="BL52" s="113" t="n"/>
      <c r="BM52" s="45" t="n"/>
      <c r="BN52" s="113" t="n"/>
      <c r="BO52" s="114">
        <f>SUM(BF52,BH52,BJ52,BL52,BN52)</f>
        <v/>
      </c>
      <c r="BP52" s="45" t="n"/>
      <c r="BQ52" s="45" t="n"/>
      <c r="BR52" s="113" t="n"/>
      <c r="BS52" s="45" t="n"/>
      <c r="BT52" s="113" t="n"/>
      <c r="BU52" s="45" t="n"/>
      <c r="BV52" s="113" t="n"/>
      <c r="BW52" s="114">
        <f>SUM(BR52,BT52,BV52)</f>
        <v/>
      </c>
      <c r="BX52" s="45" t="n"/>
      <c r="BY52" s="114">
        <f>BD52 - IF(BP52="Y", 0, BO52) - IF(BX52="Y", 0, BW52)</f>
        <v/>
      </c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</row>
    <row r="53" ht="13.5" customHeight="1">
      <c r="B53" s="47">
        <f>$B$3</f>
        <v/>
      </c>
      <c r="C53" s="48">
        <f>$C$3</f>
        <v/>
      </c>
      <c r="D53" s="40">
        <f>IF(SUM(COUNTIF(H53, "*"), COUNTIF(L53, "*"), COUNTIF(P53, "*"), COUNTIF(T53, "*"), COUNTIF(X53, "*"), COUNTIF(AB53, "*"), COUNTIF(AF53, "*"), COUNTIF(AJ53, "*"), COUNTIF(AN53, "*"), COUNTIF(AR53, "*"), COUNTIF(AV53, "*"), COUNTIF(AZ53, "*"))&gt;0, "Y", "N")</f>
        <v/>
      </c>
      <c r="E53" s="49" t="n"/>
      <c r="F53" s="49" t="n"/>
      <c r="G53" s="59" t="n">
        <v>47362</v>
      </c>
      <c r="H53" s="83" t="n"/>
      <c r="I53" s="49" t="n"/>
      <c r="J53" s="50" t="n"/>
      <c r="K53" s="115" t="n"/>
      <c r="L53" s="83" t="n"/>
      <c r="M53" s="49" t="n"/>
      <c r="N53" s="49" t="n"/>
      <c r="O53" s="115" t="n"/>
      <c r="P53" s="83" t="n"/>
      <c r="Q53" s="49" t="n"/>
      <c r="R53" s="49" t="n"/>
      <c r="S53" s="115" t="n"/>
      <c r="T53" s="83" t="n"/>
      <c r="U53" s="49" t="n"/>
      <c r="V53" s="49" t="n"/>
      <c r="W53" s="116" t="n"/>
      <c r="X53" s="83" t="n"/>
      <c r="Y53" s="49" t="n"/>
      <c r="Z53" s="49" t="n"/>
      <c r="AA53" s="115" t="n"/>
      <c r="AB53" s="83" t="n"/>
      <c r="AC53" s="49" t="n"/>
      <c r="AD53" s="49" t="n"/>
      <c r="AE53" s="115" t="n"/>
      <c r="AF53" s="83" t="n"/>
      <c r="AG53" s="49" t="n"/>
      <c r="AH53" s="49" t="n"/>
      <c r="AI53" s="115" t="n"/>
      <c r="AJ53" s="83" t="n"/>
      <c r="AK53" s="49" t="n"/>
      <c r="AL53" s="49" t="n"/>
      <c r="AM53" s="115" t="n"/>
      <c r="AN53" s="83" t="n"/>
      <c r="AO53" s="49" t="n"/>
      <c r="AP53" s="49" t="n"/>
      <c r="AQ53" s="117" t="n"/>
      <c r="AR53" s="83" t="n"/>
      <c r="AS53" s="49" t="n"/>
      <c r="AT53" s="49" t="n"/>
      <c r="AU53" s="115" t="n"/>
      <c r="AV53" s="83" t="n"/>
      <c r="AW53" s="49" t="n"/>
      <c r="AX53" s="49" t="n"/>
      <c r="AY53" s="115" t="n"/>
      <c r="AZ53" s="83" t="n"/>
      <c r="BA53" s="49" t="n"/>
      <c r="BB53" s="49" t="n"/>
      <c r="BC53" s="115" t="n"/>
      <c r="BD53" s="110">
        <f>SUM(K53,O53,S53,W53,AA53,AE53,AI53,AM53,AQ53,AU53,AY53,BC53)</f>
        <v/>
      </c>
      <c r="BE53" s="45" t="n"/>
      <c r="BF53" s="113" t="n"/>
      <c r="BG53" s="45" t="n"/>
      <c r="BH53" s="113" t="n"/>
      <c r="BI53" s="45" t="n"/>
      <c r="BJ53" s="113" t="n"/>
      <c r="BK53" s="45" t="n"/>
      <c r="BL53" s="113" t="n"/>
      <c r="BM53" s="45" t="n"/>
      <c r="BN53" s="113" t="n"/>
      <c r="BO53" s="114">
        <f>SUM(BF53,BH53,BJ53,BL53,BN53)</f>
        <v/>
      </c>
      <c r="BP53" s="45" t="n"/>
      <c r="BQ53" s="45" t="n"/>
      <c r="BR53" s="113" t="n"/>
      <c r="BS53" s="45" t="n"/>
      <c r="BT53" s="113" t="n"/>
      <c r="BU53" s="45" t="n"/>
      <c r="BV53" s="113" t="n"/>
      <c r="BW53" s="114">
        <f>SUM(BR53,BT53,BV53)</f>
        <v/>
      </c>
      <c r="BX53" s="45" t="n"/>
      <c r="BY53" s="114">
        <f>BD53 - IF(BP53="Y", 0, BO53) - IF(BX53="Y", 0, BW53)</f>
        <v/>
      </c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</row>
    <row r="54" ht="13.5" customHeight="1">
      <c r="B54" s="47">
        <f>$B$3</f>
        <v/>
      </c>
      <c r="C54" s="48">
        <f>$C$3</f>
        <v/>
      </c>
      <c r="D54" s="40">
        <f>IF(SUM(COUNTIF(H54, "*"), COUNTIF(L54, "*"), COUNTIF(P54, "*"), COUNTIF(T54, "*"), COUNTIF(X54, "*"), COUNTIF(AB54, "*"), COUNTIF(AF54, "*"), COUNTIF(AJ54, "*"), COUNTIF(AN54, "*"), COUNTIF(AR54, "*"), COUNTIF(AV54, "*"), COUNTIF(AZ54, "*"))&gt;0, "Y", "N")</f>
        <v/>
      </c>
      <c r="E54" s="49" t="n"/>
      <c r="F54" s="49" t="n"/>
      <c r="G54" s="59" t="n">
        <v>47392</v>
      </c>
      <c r="H54" s="83" t="n"/>
      <c r="I54" s="49" t="n"/>
      <c r="J54" s="50" t="n"/>
      <c r="K54" s="115" t="n"/>
      <c r="L54" s="83" t="n"/>
      <c r="M54" s="49" t="n"/>
      <c r="N54" s="49" t="n"/>
      <c r="O54" s="115" t="n"/>
      <c r="P54" s="83" t="n"/>
      <c r="Q54" s="49" t="n"/>
      <c r="R54" s="49" t="n"/>
      <c r="S54" s="115" t="n"/>
      <c r="T54" s="83" t="n"/>
      <c r="U54" s="49" t="n"/>
      <c r="V54" s="49" t="n"/>
      <c r="W54" s="116" t="n"/>
      <c r="X54" s="83" t="n"/>
      <c r="Y54" s="49" t="n"/>
      <c r="Z54" s="49" t="n"/>
      <c r="AA54" s="115" t="n"/>
      <c r="AB54" s="83" t="n"/>
      <c r="AC54" s="49" t="n"/>
      <c r="AD54" s="49" t="n"/>
      <c r="AE54" s="115" t="n"/>
      <c r="AF54" s="83" t="n"/>
      <c r="AG54" s="49" t="n"/>
      <c r="AH54" s="49" t="n"/>
      <c r="AI54" s="115" t="n"/>
      <c r="AJ54" s="83" t="n"/>
      <c r="AK54" s="49" t="n"/>
      <c r="AL54" s="49" t="n"/>
      <c r="AM54" s="115" t="n"/>
      <c r="AN54" s="83" t="n"/>
      <c r="AO54" s="49" t="n"/>
      <c r="AP54" s="49" t="n"/>
      <c r="AQ54" s="117" t="n"/>
      <c r="AR54" s="83" t="n"/>
      <c r="AS54" s="49" t="n"/>
      <c r="AT54" s="49" t="n"/>
      <c r="AU54" s="115" t="n"/>
      <c r="AV54" s="83" t="n"/>
      <c r="AW54" s="49" t="n"/>
      <c r="AX54" s="49" t="n"/>
      <c r="AY54" s="115" t="n"/>
      <c r="AZ54" s="83" t="n"/>
      <c r="BA54" s="49" t="n"/>
      <c r="BB54" s="49" t="n"/>
      <c r="BC54" s="115" t="n"/>
      <c r="BD54" s="110">
        <f>SUM(K54,O54,S54,W54,AA54,AE54,AI54,AM54,AQ54,AU54,AY54,BC54)</f>
        <v/>
      </c>
      <c r="BE54" s="45" t="n"/>
      <c r="BF54" s="113" t="n"/>
      <c r="BG54" s="45" t="n"/>
      <c r="BH54" s="113" t="n"/>
      <c r="BI54" s="45" t="n"/>
      <c r="BJ54" s="113" t="n"/>
      <c r="BK54" s="45" t="n"/>
      <c r="BL54" s="113" t="n"/>
      <c r="BM54" s="45" t="n"/>
      <c r="BN54" s="113" t="n"/>
      <c r="BO54" s="114">
        <f>SUM(BF54,BH54,BJ54,BL54,BN54)</f>
        <v/>
      </c>
      <c r="BP54" s="45" t="n"/>
      <c r="BQ54" s="45" t="n"/>
      <c r="BR54" s="113" t="n"/>
      <c r="BS54" s="45" t="n"/>
      <c r="BT54" s="113" t="n"/>
      <c r="BU54" s="45" t="n"/>
      <c r="BV54" s="113" t="n"/>
      <c r="BW54" s="114">
        <f>SUM(BR54,BT54,BV54)</f>
        <v/>
      </c>
      <c r="BX54" s="45" t="n"/>
      <c r="BY54" s="114">
        <f>BD54 - IF(BP54="Y", 0, BO54) - IF(BX54="Y", 0, BW54)</f>
        <v/>
      </c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</row>
    <row r="55" ht="13.5" customHeight="1">
      <c r="B55" s="47">
        <f>$B$3</f>
        <v/>
      </c>
      <c r="C55" s="48">
        <f>$C$3</f>
        <v/>
      </c>
      <c r="D55" s="40">
        <f>IF(SUM(COUNTIF(H55, "*"), COUNTIF(L55, "*"), COUNTIF(P55, "*"), COUNTIF(T55, "*"), COUNTIF(X55, "*"), COUNTIF(AB55, "*"), COUNTIF(AF55, "*"), COUNTIF(AJ55, "*"), COUNTIF(AN55, "*"), COUNTIF(AR55, "*"), COUNTIF(AV55, "*"), COUNTIF(AZ55, "*"))&gt;0, "Y", "N")</f>
        <v/>
      </c>
      <c r="E55" s="49" t="n"/>
      <c r="F55" s="49" t="n"/>
      <c r="G55" s="59" t="n">
        <v>47423</v>
      </c>
      <c r="H55" s="83" t="n"/>
      <c r="I55" s="49" t="n"/>
      <c r="J55" s="50" t="n"/>
      <c r="K55" s="115" t="n"/>
      <c r="L55" s="83" t="n"/>
      <c r="M55" s="49" t="n"/>
      <c r="N55" s="49" t="n"/>
      <c r="O55" s="115" t="n"/>
      <c r="P55" s="83" t="n"/>
      <c r="Q55" s="49" t="n"/>
      <c r="R55" s="49" t="n"/>
      <c r="S55" s="115" t="n"/>
      <c r="T55" s="83" t="n"/>
      <c r="U55" s="49" t="n"/>
      <c r="V55" s="49" t="n"/>
      <c r="W55" s="116" t="n"/>
      <c r="X55" s="83" t="n"/>
      <c r="Y55" s="49" t="n"/>
      <c r="Z55" s="49" t="n"/>
      <c r="AA55" s="115" t="n"/>
      <c r="AB55" s="83" t="n"/>
      <c r="AC55" s="49" t="n"/>
      <c r="AD55" s="49" t="n"/>
      <c r="AE55" s="115" t="n"/>
      <c r="AF55" s="83" t="n"/>
      <c r="AG55" s="49" t="n"/>
      <c r="AH55" s="49" t="n"/>
      <c r="AI55" s="115" t="n"/>
      <c r="AJ55" s="83" t="n"/>
      <c r="AK55" s="49" t="n"/>
      <c r="AL55" s="49" t="n"/>
      <c r="AM55" s="115" t="n"/>
      <c r="AN55" s="83" t="n"/>
      <c r="AO55" s="49" t="n"/>
      <c r="AP55" s="49" t="n"/>
      <c r="AQ55" s="117" t="n"/>
      <c r="AR55" s="83" t="n"/>
      <c r="AS55" s="49" t="n"/>
      <c r="AT55" s="49" t="n"/>
      <c r="AU55" s="115" t="n"/>
      <c r="AV55" s="83" t="n"/>
      <c r="AW55" s="49" t="n"/>
      <c r="AX55" s="49" t="n"/>
      <c r="AY55" s="115" t="n"/>
      <c r="AZ55" s="83" t="n"/>
      <c r="BA55" s="49" t="n"/>
      <c r="BB55" s="49" t="n"/>
      <c r="BC55" s="115" t="n"/>
      <c r="BD55" s="110">
        <f>SUM(K55,O55,S55,W55,AA55,AE55,AI55,AM55,AQ55,AU55,AY55,BC55)</f>
        <v/>
      </c>
      <c r="BE55" s="45" t="n"/>
      <c r="BF55" s="113" t="n"/>
      <c r="BG55" s="45" t="n"/>
      <c r="BH55" s="113" t="n"/>
      <c r="BI55" s="45" t="n"/>
      <c r="BJ55" s="113" t="n"/>
      <c r="BK55" s="45" t="n"/>
      <c r="BL55" s="113" t="n"/>
      <c r="BM55" s="45" t="n"/>
      <c r="BN55" s="113" t="n"/>
      <c r="BO55" s="114">
        <f>SUM(BF55,BH55,BJ55,BL55,BN55)</f>
        <v/>
      </c>
      <c r="BP55" s="45" t="n"/>
      <c r="BQ55" s="45" t="n"/>
      <c r="BR55" s="113" t="n"/>
      <c r="BS55" s="45" t="n"/>
      <c r="BT55" s="113" t="n"/>
      <c r="BU55" s="45" t="n"/>
      <c r="BV55" s="113" t="n"/>
      <c r="BW55" s="114">
        <f>SUM(BR55,BT55,BV55)</f>
        <v/>
      </c>
      <c r="BX55" s="45" t="n"/>
      <c r="BY55" s="114">
        <f>BD55 - IF(BP55="Y", 0, BO55) - IF(BX55="Y", 0, BW55)</f>
        <v/>
      </c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</row>
    <row r="56" ht="13.5" customHeight="1">
      <c r="B56" s="47">
        <f>$B$3</f>
        <v/>
      </c>
      <c r="C56" s="48">
        <f>$C$3</f>
        <v/>
      </c>
      <c r="D56" s="40">
        <f>IF(SUM(COUNTIF(H56, "*"), COUNTIF(L56, "*"), COUNTIF(P56, "*"), COUNTIF(T56, "*"), COUNTIF(X56, "*"), COUNTIF(AB56, "*"), COUNTIF(AF56, "*"), COUNTIF(AJ56, "*"), COUNTIF(AN56, "*"), COUNTIF(AR56, "*"), COUNTIF(AV56, "*"), COUNTIF(AZ56, "*"))&gt;0, "Y", "N")</f>
        <v/>
      </c>
      <c r="E56" s="49" t="n"/>
      <c r="F56" s="49" t="n"/>
      <c r="G56" s="59" t="n">
        <v>47453</v>
      </c>
      <c r="H56" s="83" t="n"/>
      <c r="I56" s="49" t="n"/>
      <c r="J56" s="50" t="n"/>
      <c r="K56" s="115" t="n"/>
      <c r="L56" s="83" t="n"/>
      <c r="M56" s="49" t="n"/>
      <c r="N56" s="49" t="n"/>
      <c r="O56" s="115" t="n"/>
      <c r="P56" s="83" t="n"/>
      <c r="Q56" s="49" t="n"/>
      <c r="R56" s="49" t="n"/>
      <c r="S56" s="115" t="n"/>
      <c r="T56" s="83" t="n"/>
      <c r="U56" s="49" t="n"/>
      <c r="V56" s="49" t="n"/>
      <c r="W56" s="116" t="n"/>
      <c r="X56" s="83" t="n"/>
      <c r="Y56" s="49" t="n"/>
      <c r="Z56" s="49" t="n"/>
      <c r="AA56" s="115" t="n"/>
      <c r="AB56" s="83" t="n"/>
      <c r="AC56" s="49" t="n"/>
      <c r="AD56" s="49" t="n"/>
      <c r="AE56" s="115" t="n"/>
      <c r="AF56" s="83" t="n"/>
      <c r="AG56" s="49" t="n"/>
      <c r="AH56" s="49" t="n"/>
      <c r="AI56" s="115" t="n"/>
      <c r="AJ56" s="83" t="n"/>
      <c r="AK56" s="49" t="n"/>
      <c r="AL56" s="49" t="n"/>
      <c r="AM56" s="115" t="n"/>
      <c r="AN56" s="83" t="n"/>
      <c r="AO56" s="49" t="n"/>
      <c r="AP56" s="49" t="n"/>
      <c r="AQ56" s="117" t="n"/>
      <c r="AR56" s="83" t="n"/>
      <c r="AS56" s="49" t="n"/>
      <c r="AT56" s="49" t="n"/>
      <c r="AU56" s="115" t="n"/>
      <c r="AV56" s="83" t="n"/>
      <c r="AW56" s="49" t="n"/>
      <c r="AX56" s="49" t="n"/>
      <c r="AY56" s="115" t="n"/>
      <c r="AZ56" s="83" t="n"/>
      <c r="BA56" s="49" t="n"/>
      <c r="BB56" s="49" t="n"/>
      <c r="BC56" s="115" t="n"/>
      <c r="BD56" s="110">
        <f>SUM(K56,O56,S56,W56,AA56,AE56,AI56,AM56,AQ56,AU56,AY56,BC56)</f>
        <v/>
      </c>
      <c r="BE56" s="45" t="n"/>
      <c r="BF56" s="113" t="n"/>
      <c r="BG56" s="45" t="n"/>
      <c r="BH56" s="113" t="n"/>
      <c r="BI56" s="45" t="n"/>
      <c r="BJ56" s="113" t="n"/>
      <c r="BK56" s="45" t="n"/>
      <c r="BL56" s="113" t="n"/>
      <c r="BM56" s="45" t="n"/>
      <c r="BN56" s="113" t="n"/>
      <c r="BO56" s="114">
        <f>SUM(BF56,BH56,BJ56,BL56,BN56)</f>
        <v/>
      </c>
      <c r="BP56" s="45" t="n"/>
      <c r="BQ56" s="45" t="n"/>
      <c r="BR56" s="113" t="n"/>
      <c r="BS56" s="45" t="n"/>
      <c r="BT56" s="113" t="n"/>
      <c r="BU56" s="45" t="n"/>
      <c r="BV56" s="113" t="n"/>
      <c r="BW56" s="114">
        <f>SUM(BR56,BT56,BV56)</f>
        <v/>
      </c>
      <c r="BX56" s="45" t="n"/>
      <c r="BY56" s="114">
        <f>BD56 - IF(BP56="Y", 0, BO56) - IF(BX56="Y", 0, BW56)</f>
        <v/>
      </c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</row>
    <row r="57" ht="13.5" customHeight="1">
      <c r="B57" s="47">
        <f>$B$3</f>
        <v/>
      </c>
      <c r="C57" s="48">
        <f>$C$3</f>
        <v/>
      </c>
      <c r="D57" s="40">
        <f>IF(SUM(COUNTIF(H57, "*"), COUNTIF(L57, "*"), COUNTIF(P57, "*"), COUNTIF(T57, "*"), COUNTIF(X57, "*"), COUNTIF(AB57, "*"), COUNTIF(AF57, "*"), COUNTIF(AJ57, "*"), COUNTIF(AN57, "*"), COUNTIF(AR57, "*"), COUNTIF(AV57, "*"), COUNTIF(AZ57, "*"))&gt;0, "Y", "N")</f>
        <v/>
      </c>
      <c r="E57" s="49" t="n"/>
      <c r="F57" s="49" t="n"/>
      <c r="G57" s="59" t="n">
        <v>47484</v>
      </c>
      <c r="H57" s="83" t="n"/>
      <c r="I57" s="49" t="n"/>
      <c r="J57" s="50" t="n"/>
      <c r="K57" s="115" t="n"/>
      <c r="L57" s="83" t="n"/>
      <c r="M57" s="49" t="n"/>
      <c r="N57" s="49" t="n"/>
      <c r="O57" s="115" t="n"/>
      <c r="P57" s="83" t="n"/>
      <c r="Q57" s="49" t="n"/>
      <c r="R57" s="49" t="n"/>
      <c r="S57" s="115" t="n"/>
      <c r="T57" s="83" t="n"/>
      <c r="U57" s="49" t="n"/>
      <c r="V57" s="49" t="n"/>
      <c r="W57" s="116" t="n"/>
      <c r="X57" s="83" t="n"/>
      <c r="Y57" s="49" t="n"/>
      <c r="Z57" s="49" t="n"/>
      <c r="AA57" s="115" t="n"/>
      <c r="AB57" s="83" t="n"/>
      <c r="AC57" s="49" t="n"/>
      <c r="AD57" s="49" t="n"/>
      <c r="AE57" s="115" t="n"/>
      <c r="AF57" s="83" t="n"/>
      <c r="AG57" s="49" t="n"/>
      <c r="AH57" s="49" t="n"/>
      <c r="AI57" s="115" t="n"/>
      <c r="AJ57" s="83" t="n"/>
      <c r="AK57" s="49" t="n"/>
      <c r="AL57" s="49" t="n"/>
      <c r="AM57" s="115" t="n"/>
      <c r="AN57" s="83" t="n"/>
      <c r="AO57" s="49" t="n"/>
      <c r="AP57" s="49" t="n"/>
      <c r="AQ57" s="117" t="n"/>
      <c r="AR57" s="83" t="n"/>
      <c r="AS57" s="49" t="n"/>
      <c r="AT57" s="49" t="n"/>
      <c r="AU57" s="115" t="n"/>
      <c r="AV57" s="83" t="n"/>
      <c r="AW57" s="49" t="n"/>
      <c r="AX57" s="49" t="n"/>
      <c r="AY57" s="115" t="n"/>
      <c r="AZ57" s="83" t="n"/>
      <c r="BA57" s="49" t="n"/>
      <c r="BB57" s="49" t="n"/>
      <c r="BC57" s="115" t="n"/>
      <c r="BD57" s="110">
        <f>SUM(K57,O57,S57,W57,AA57,AE57,AI57,AM57,AQ57,AU57,AY57,BC57)</f>
        <v/>
      </c>
      <c r="BE57" s="45" t="n"/>
      <c r="BF57" s="113" t="n"/>
      <c r="BG57" s="45" t="n"/>
      <c r="BH57" s="113" t="n"/>
      <c r="BI57" s="45" t="n"/>
      <c r="BJ57" s="113" t="n"/>
      <c r="BK57" s="45" t="n"/>
      <c r="BL57" s="113" t="n"/>
      <c r="BM57" s="45" t="n"/>
      <c r="BN57" s="113" t="n"/>
      <c r="BO57" s="114">
        <f>SUM(BF57,BH57,BJ57,BL57,BN57)</f>
        <v/>
      </c>
      <c r="BP57" s="45" t="n"/>
      <c r="BQ57" s="45" t="n"/>
      <c r="BR57" s="113" t="n"/>
      <c r="BS57" s="45" t="n"/>
      <c r="BT57" s="113" t="n"/>
      <c r="BU57" s="45" t="n"/>
      <c r="BV57" s="113" t="n"/>
      <c r="BW57" s="114">
        <f>SUM(BR57,BT57,BV57)</f>
        <v/>
      </c>
      <c r="BX57" s="45" t="n"/>
      <c r="BY57" s="114">
        <f>BD57 - IF(BP57="Y", 0, BO57) - IF(BX57="Y", 0, BW57)</f>
        <v/>
      </c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</row>
    <row r="58" ht="13.5" customHeight="1">
      <c r="B58" s="47">
        <f>$B$3</f>
        <v/>
      </c>
      <c r="C58" s="48">
        <f>$C$3</f>
        <v/>
      </c>
      <c r="D58" s="40">
        <f>IF(SUM(COUNTIF(H58, "*"), COUNTIF(L58, "*"), COUNTIF(P58, "*"), COUNTIF(T58, "*"), COUNTIF(X58, "*"), COUNTIF(AB58, "*"), COUNTIF(AF58, "*"), COUNTIF(AJ58, "*"), COUNTIF(AN58, "*"), COUNTIF(AR58, "*"), COUNTIF(AV58, "*"), COUNTIF(AZ58, "*"))&gt;0, "Y", "N")</f>
        <v/>
      </c>
      <c r="E58" s="49" t="n"/>
      <c r="F58" s="49" t="n"/>
      <c r="G58" s="59" t="n">
        <v>47515</v>
      </c>
      <c r="H58" s="83" t="n"/>
      <c r="I58" s="49" t="n"/>
      <c r="J58" s="50" t="n"/>
      <c r="K58" s="115" t="n"/>
      <c r="L58" s="83" t="n"/>
      <c r="M58" s="49" t="n"/>
      <c r="N58" s="49" t="n"/>
      <c r="O58" s="115" t="n"/>
      <c r="P58" s="83" t="n"/>
      <c r="Q58" s="49" t="n"/>
      <c r="R58" s="49" t="n"/>
      <c r="S58" s="115" t="n"/>
      <c r="T58" s="83" t="n"/>
      <c r="U58" s="49" t="n"/>
      <c r="V58" s="49" t="n"/>
      <c r="W58" s="116" t="n"/>
      <c r="X58" s="83" t="n"/>
      <c r="Y58" s="49" t="n"/>
      <c r="Z58" s="49" t="n"/>
      <c r="AA58" s="115" t="n"/>
      <c r="AB58" s="83" t="n"/>
      <c r="AC58" s="49" t="n"/>
      <c r="AD58" s="49" t="n"/>
      <c r="AE58" s="115" t="n"/>
      <c r="AF58" s="83" t="n"/>
      <c r="AG58" s="49" t="n"/>
      <c r="AH58" s="49" t="n"/>
      <c r="AI58" s="115" t="n"/>
      <c r="AJ58" s="83" t="n"/>
      <c r="AK58" s="49" t="n"/>
      <c r="AL58" s="49" t="n"/>
      <c r="AM58" s="115" t="n"/>
      <c r="AN58" s="83" t="n"/>
      <c r="AO58" s="49" t="n"/>
      <c r="AP58" s="49" t="n"/>
      <c r="AQ58" s="117" t="n"/>
      <c r="AR58" s="83" t="n"/>
      <c r="AS58" s="49" t="n"/>
      <c r="AT58" s="49" t="n"/>
      <c r="AU58" s="115" t="n"/>
      <c r="AV58" s="83" t="n"/>
      <c r="AW58" s="49" t="n"/>
      <c r="AX58" s="49" t="n"/>
      <c r="AY58" s="115" t="n"/>
      <c r="AZ58" s="83" t="n"/>
      <c r="BA58" s="49" t="n"/>
      <c r="BB58" s="49" t="n"/>
      <c r="BC58" s="115" t="n"/>
      <c r="BD58" s="110">
        <f>SUM(K58,O58,S58,W58,AA58,AE58,AI58,AM58,AQ58,AU58,AY58,BC58)</f>
        <v/>
      </c>
      <c r="BE58" s="45" t="n"/>
      <c r="BF58" s="113" t="n"/>
      <c r="BG58" s="45" t="n"/>
      <c r="BH58" s="113" t="n"/>
      <c r="BI58" s="45" t="n"/>
      <c r="BJ58" s="113" t="n"/>
      <c r="BK58" s="45" t="n"/>
      <c r="BL58" s="113" t="n"/>
      <c r="BM58" s="45" t="n"/>
      <c r="BN58" s="113" t="n"/>
      <c r="BO58" s="114">
        <f>SUM(BF58,BH58,BJ58,BL58,BN58)</f>
        <v/>
      </c>
      <c r="BP58" s="45" t="n"/>
      <c r="BQ58" s="45" t="n"/>
      <c r="BR58" s="113" t="n"/>
      <c r="BS58" s="45" t="n"/>
      <c r="BT58" s="113" t="n"/>
      <c r="BU58" s="45" t="n"/>
      <c r="BV58" s="113" t="n"/>
      <c r="BW58" s="114">
        <f>SUM(BR58,BT58,BV58)</f>
        <v/>
      </c>
      <c r="BX58" s="45" t="n"/>
      <c r="BY58" s="114">
        <f>BD58 - IF(BP58="Y", 0, BO58) - IF(BX58="Y", 0, BW58)</f>
        <v/>
      </c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</row>
    <row r="59" ht="13.5" customHeight="1">
      <c r="B59" s="47">
        <f>$B$3</f>
        <v/>
      </c>
      <c r="C59" s="48">
        <f>$C$3</f>
        <v/>
      </c>
      <c r="D59" s="40">
        <f>IF(SUM(COUNTIF(H59, "*"), COUNTIF(L59, "*"), COUNTIF(P59, "*"), COUNTIF(T59, "*"), COUNTIF(X59, "*"), COUNTIF(AB59, "*"), COUNTIF(AF59, "*"), COUNTIF(AJ59, "*"), COUNTIF(AN59, "*"), COUNTIF(AR59, "*"), COUNTIF(AV59, "*"), COUNTIF(AZ59, "*"))&gt;0, "Y", "N")</f>
        <v/>
      </c>
      <c r="E59" s="49" t="n"/>
      <c r="F59" s="49" t="n"/>
      <c r="G59" s="59" t="n">
        <v>47543</v>
      </c>
      <c r="H59" s="83" t="n"/>
      <c r="I59" s="49" t="n"/>
      <c r="J59" s="50" t="n"/>
      <c r="K59" s="115" t="n"/>
      <c r="L59" s="83" t="n"/>
      <c r="M59" s="49" t="n"/>
      <c r="N59" s="49" t="n"/>
      <c r="O59" s="115" t="n"/>
      <c r="P59" s="83" t="n"/>
      <c r="Q59" s="49" t="n"/>
      <c r="R59" s="49" t="n"/>
      <c r="S59" s="115" t="n"/>
      <c r="T59" s="83" t="n"/>
      <c r="U59" s="49" t="n"/>
      <c r="V59" s="49" t="n"/>
      <c r="W59" s="116" t="n"/>
      <c r="X59" s="83" t="n"/>
      <c r="Y59" s="49" t="n"/>
      <c r="Z59" s="49" t="n"/>
      <c r="AA59" s="115" t="n"/>
      <c r="AB59" s="81" t="n"/>
      <c r="AC59" s="11" t="n"/>
      <c r="AD59" s="41" t="n"/>
      <c r="AE59" s="107" t="n"/>
      <c r="AF59" s="81" t="n"/>
      <c r="AG59" s="11" t="n"/>
      <c r="AH59" s="11" t="n"/>
      <c r="AI59" s="107" t="n"/>
      <c r="AJ59" s="81" t="n"/>
      <c r="AK59" s="11" t="n"/>
      <c r="AL59" s="11" t="n"/>
      <c r="AM59" s="107" t="n"/>
      <c r="AN59" s="81" t="n"/>
      <c r="AO59" s="11" t="n"/>
      <c r="AP59" s="11" t="n"/>
      <c r="AQ59" s="108" t="n"/>
      <c r="AR59" s="83" t="n"/>
      <c r="AS59" s="49" t="n"/>
      <c r="AT59" s="49" t="n"/>
      <c r="AU59" s="115" t="n"/>
      <c r="AV59" s="83" t="n"/>
      <c r="AW59" s="49" t="n"/>
      <c r="AX59" s="49" t="n"/>
      <c r="AY59" s="115" t="n"/>
      <c r="AZ59" s="83" t="n"/>
      <c r="BA59" s="49" t="n"/>
      <c r="BB59" s="49" t="n"/>
      <c r="BC59" s="115" t="n"/>
      <c r="BD59" s="110">
        <f>SUM(K59,O59,S59,W59,AA59,AE59,AI59,AM59,AQ59,AU59,AY59,BC59)</f>
        <v/>
      </c>
      <c r="BE59" s="45" t="n"/>
      <c r="BF59" s="113" t="n"/>
      <c r="BG59" s="45" t="n"/>
      <c r="BH59" s="113" t="n"/>
      <c r="BI59" s="45" t="n"/>
      <c r="BJ59" s="113" t="n"/>
      <c r="BK59" s="45" t="n"/>
      <c r="BL59" s="113" t="n"/>
      <c r="BM59" s="45" t="n"/>
      <c r="BN59" s="113" t="n"/>
      <c r="BO59" s="114">
        <f>SUM(BF59,BH59,BJ59,BL59,BN59)</f>
        <v/>
      </c>
      <c r="BP59" s="45" t="n"/>
      <c r="BQ59" s="45" t="n"/>
      <c r="BR59" s="113" t="n"/>
      <c r="BS59" s="45" t="n"/>
      <c r="BT59" s="113" t="n"/>
      <c r="BU59" s="45" t="n"/>
      <c r="BV59" s="113" t="n"/>
      <c r="BW59" s="114">
        <f>SUM(BR59,BT59,BV59)</f>
        <v/>
      </c>
      <c r="BX59" s="45" t="n"/>
      <c r="BY59" s="114">
        <f>BD59 - IF(BP59="Y", 0, BO59) - IF(BX59="Y", 0, BW59)</f>
        <v/>
      </c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</row>
    <row r="60" ht="13.5" customHeight="1">
      <c r="B60" s="47">
        <f>$B$3</f>
        <v/>
      </c>
      <c r="C60" s="48">
        <f>$C$3</f>
        <v/>
      </c>
      <c r="D60" s="40">
        <f>IF(SUM(COUNTIF(H60, "*"), COUNTIF(L60, "*"), COUNTIF(P60, "*"), COUNTIF(T60, "*"), COUNTIF(X60, "*"), COUNTIF(AB60, "*"), COUNTIF(AF60, "*"), COUNTIF(AJ60, "*"), COUNTIF(AN60, "*"), COUNTIF(AR60, "*"), COUNTIF(AV60, "*"), COUNTIF(AZ60, "*"))&gt;0, "Y", "N")</f>
        <v/>
      </c>
      <c r="E60" s="49" t="n"/>
      <c r="F60" s="49" t="n"/>
      <c r="G60" s="59" t="n">
        <v>47574</v>
      </c>
      <c r="H60" s="83" t="n"/>
      <c r="I60" s="49" t="n"/>
      <c r="J60" s="50" t="n"/>
      <c r="K60" s="115" t="n"/>
      <c r="L60" s="83" t="n"/>
      <c r="M60" s="49" t="n"/>
      <c r="N60" s="49" t="n"/>
      <c r="O60" s="115" t="n"/>
      <c r="P60" s="83" t="n"/>
      <c r="Q60" s="49" t="n"/>
      <c r="R60" s="49" t="n"/>
      <c r="S60" s="115" t="n"/>
      <c r="T60" s="83" t="n"/>
      <c r="U60" s="49" t="n"/>
      <c r="V60" s="49" t="n"/>
      <c r="W60" s="116" t="n"/>
      <c r="X60" s="83" t="n"/>
      <c r="Y60" s="49" t="n"/>
      <c r="Z60" s="49" t="n"/>
      <c r="AA60" s="115" t="n"/>
      <c r="AB60" s="83" t="n"/>
      <c r="AC60" s="11" t="n"/>
      <c r="AD60" s="41" t="n"/>
      <c r="AE60" s="107" t="n"/>
      <c r="AF60" s="83" t="n"/>
      <c r="AG60" s="49" t="n"/>
      <c r="AH60" s="49" t="n"/>
      <c r="AI60" s="115" t="n"/>
      <c r="AJ60" s="83" t="n"/>
      <c r="AK60" s="49" t="n"/>
      <c r="AL60" s="49" t="n"/>
      <c r="AM60" s="115" t="n"/>
      <c r="AN60" s="83" t="n"/>
      <c r="AO60" s="49" t="n"/>
      <c r="AP60" s="49" t="n"/>
      <c r="AQ60" s="116" t="n"/>
      <c r="AR60" s="83" t="n"/>
      <c r="AS60" s="49" t="n"/>
      <c r="AT60" s="49" t="n"/>
      <c r="AU60" s="115" t="n"/>
      <c r="AV60" s="83" t="n"/>
      <c r="AW60" s="49" t="n"/>
      <c r="AX60" s="49" t="n"/>
      <c r="AY60" s="115" t="n"/>
      <c r="AZ60" s="83" t="n"/>
      <c r="BA60" s="49" t="n"/>
      <c r="BB60" s="49" t="n"/>
      <c r="BC60" s="115" t="n"/>
      <c r="BD60" s="110">
        <f>SUM(K60,O60,S60,W60,AA60,AE60,AI60,AM60,AQ60,AU60,AY60,BC60)</f>
        <v/>
      </c>
      <c r="BE60" s="45" t="n"/>
      <c r="BF60" s="113" t="n"/>
      <c r="BG60" s="45" t="n"/>
      <c r="BH60" s="113" t="n"/>
      <c r="BI60" s="45" t="n"/>
      <c r="BJ60" s="113" t="n"/>
      <c r="BK60" s="45" t="n"/>
      <c r="BL60" s="113" t="n"/>
      <c r="BM60" s="45" t="n"/>
      <c r="BN60" s="113" t="n"/>
      <c r="BO60" s="114">
        <f>SUM(BF60,BH60,BJ60,BL60,BN60)</f>
        <v/>
      </c>
      <c r="BP60" s="45" t="n"/>
      <c r="BQ60" s="45" t="n"/>
      <c r="BR60" s="113" t="n"/>
      <c r="BS60" s="45" t="n"/>
      <c r="BT60" s="113" t="n"/>
      <c r="BU60" s="45" t="n"/>
      <c r="BV60" s="113" t="n"/>
      <c r="BW60" s="114">
        <f>SUM(BR60,BT60,BV60)</f>
        <v/>
      </c>
      <c r="BX60" s="45" t="n"/>
      <c r="BY60" s="114">
        <f>BD60 - IF(BP60="Y", 0, BO60) - IF(BX60="Y", 0, BW60)</f>
        <v/>
      </c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</row>
    <row r="61" ht="13.5" customHeight="1">
      <c r="B61" s="47">
        <f>$B$3</f>
        <v/>
      </c>
      <c r="C61" s="48">
        <f>$C$3</f>
        <v/>
      </c>
      <c r="D61" s="40">
        <f>IF(SUM(COUNTIF(H61, "*"), COUNTIF(L61, "*"), COUNTIF(P61, "*"), COUNTIF(T61, "*"), COUNTIF(X61, "*"), COUNTIF(AB61, "*"), COUNTIF(AF61, "*"), COUNTIF(AJ61, "*"), COUNTIF(AN61, "*"), COUNTIF(AR61, "*"), COUNTIF(AV61, "*"), COUNTIF(AZ61, "*"))&gt;0, "Y", "N")</f>
        <v/>
      </c>
      <c r="E61" s="49" t="n"/>
      <c r="F61" s="49" t="n"/>
      <c r="G61" s="59" t="n">
        <v>47604</v>
      </c>
      <c r="H61" s="83" t="n"/>
      <c r="I61" s="49" t="n"/>
      <c r="J61" s="50" t="n"/>
      <c r="K61" s="115" t="n"/>
      <c r="L61" s="83" t="n"/>
      <c r="M61" s="49" t="n"/>
      <c r="N61" s="49" t="n"/>
      <c r="O61" s="115" t="n"/>
      <c r="P61" s="83" t="n"/>
      <c r="Q61" s="49" t="n"/>
      <c r="R61" s="49" t="n"/>
      <c r="S61" s="115" t="n"/>
      <c r="T61" s="83" t="n"/>
      <c r="U61" s="49" t="n"/>
      <c r="V61" s="49" t="n"/>
      <c r="W61" s="116" t="n"/>
      <c r="X61" s="83" t="n"/>
      <c r="Y61" s="49" t="n"/>
      <c r="Z61" s="49" t="n"/>
      <c r="AA61" s="115" t="n"/>
      <c r="AB61" s="83" t="n"/>
      <c r="AC61" s="11" t="n"/>
      <c r="AD61" s="41" t="n"/>
      <c r="AE61" s="107" t="n"/>
      <c r="AF61" s="83" t="n"/>
      <c r="AG61" s="49" t="n"/>
      <c r="AH61" s="49" t="n"/>
      <c r="AI61" s="115" t="n"/>
      <c r="AJ61" s="83" t="n"/>
      <c r="AK61" s="49" t="n"/>
      <c r="AL61" s="49" t="n"/>
      <c r="AM61" s="115" t="n"/>
      <c r="AN61" s="83" t="n"/>
      <c r="AO61" s="49" t="n"/>
      <c r="AP61" s="49" t="n"/>
      <c r="AQ61" s="116" t="n"/>
      <c r="AR61" s="83" t="n"/>
      <c r="AS61" s="49" t="n"/>
      <c r="AT61" s="49" t="n"/>
      <c r="AU61" s="115" t="n"/>
      <c r="AV61" s="83" t="n"/>
      <c r="AW61" s="49" t="n"/>
      <c r="AX61" s="49" t="n"/>
      <c r="AY61" s="115" t="n"/>
      <c r="AZ61" s="83" t="n"/>
      <c r="BA61" s="49" t="n"/>
      <c r="BB61" s="49" t="n"/>
      <c r="BC61" s="115" t="n"/>
      <c r="BD61" s="110">
        <f>SUM(K61,O61,S61,W61,AA61,AE61,AI61,AM61,AQ61,AU61,AY61,BC61)</f>
        <v/>
      </c>
      <c r="BE61" s="45" t="n"/>
      <c r="BF61" s="113" t="n"/>
      <c r="BG61" s="45" t="n"/>
      <c r="BH61" s="113" t="n"/>
      <c r="BI61" s="45" t="n"/>
      <c r="BJ61" s="113" t="n"/>
      <c r="BK61" s="45" t="n"/>
      <c r="BL61" s="113" t="n"/>
      <c r="BM61" s="45" t="n"/>
      <c r="BN61" s="113" t="n"/>
      <c r="BO61" s="114">
        <f>SUM(BF61,BH61,BJ61,BL61,BN61)</f>
        <v/>
      </c>
      <c r="BP61" s="45" t="n"/>
      <c r="BQ61" s="45" t="n"/>
      <c r="BR61" s="113" t="n"/>
      <c r="BS61" s="45" t="n"/>
      <c r="BT61" s="113" t="n"/>
      <c r="BU61" s="45" t="n"/>
      <c r="BV61" s="113" t="n"/>
      <c r="BW61" s="114">
        <f>SUM(BR61,BT61,BV61)</f>
        <v/>
      </c>
      <c r="BX61" s="45" t="n"/>
      <c r="BY61" s="114">
        <f>BD61 - IF(BP61="Y", 0, BO61) - IF(BX61="Y", 0, BW61)</f>
        <v/>
      </c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</row>
    <row r="62" ht="13.5" customHeight="1">
      <c r="B62" s="47">
        <f>$B$3</f>
        <v/>
      </c>
      <c r="C62" s="48">
        <f>$C$3</f>
        <v/>
      </c>
      <c r="D62" s="40">
        <f>IF(SUM(COUNTIF(H62, "*"), COUNTIF(L62, "*"), COUNTIF(P62, "*"), COUNTIF(T62, "*"), COUNTIF(X62, "*"), COUNTIF(AB62, "*"), COUNTIF(AF62, "*"), COUNTIF(AJ62, "*"), COUNTIF(AN62, "*"), COUNTIF(AR62, "*"), COUNTIF(AV62, "*"), COUNTIF(AZ62, "*"))&gt;0, "Y", "N")</f>
        <v/>
      </c>
      <c r="E62" s="49" t="n"/>
      <c r="F62" s="49" t="n"/>
      <c r="G62" s="59" t="n">
        <v>47635</v>
      </c>
      <c r="H62" s="83" t="n"/>
      <c r="I62" s="49" t="n"/>
      <c r="J62" s="50" t="n"/>
      <c r="K62" s="115" t="n"/>
      <c r="L62" s="83" t="n"/>
      <c r="M62" s="49" t="n"/>
      <c r="N62" s="49" t="n"/>
      <c r="O62" s="115" t="n"/>
      <c r="P62" s="83" t="n"/>
      <c r="Q62" s="49" t="n"/>
      <c r="R62" s="49" t="n"/>
      <c r="S62" s="115" t="n"/>
      <c r="T62" s="83" t="n"/>
      <c r="U62" s="49" t="n"/>
      <c r="V62" s="49" t="n"/>
      <c r="W62" s="116" t="n"/>
      <c r="X62" s="83" t="n"/>
      <c r="Y62" s="49" t="n"/>
      <c r="Z62" s="49" t="n"/>
      <c r="AA62" s="115" t="n"/>
      <c r="AB62" s="83" t="n"/>
      <c r="AC62" s="49" t="n"/>
      <c r="AD62" s="41" t="n"/>
      <c r="AE62" s="107" t="n"/>
      <c r="AF62" s="83" t="n"/>
      <c r="AG62" s="49" t="n"/>
      <c r="AH62" s="49" t="n"/>
      <c r="AI62" s="115" t="n"/>
      <c r="AJ62" s="83" t="n"/>
      <c r="AK62" s="49" t="n"/>
      <c r="AL62" s="49" t="n"/>
      <c r="AM62" s="115" t="n"/>
      <c r="AN62" s="83" t="n"/>
      <c r="AO62" s="49" t="n"/>
      <c r="AP62" s="49" t="n"/>
      <c r="AQ62" s="116" t="n"/>
      <c r="AR62" s="83" t="n"/>
      <c r="AS62" s="49" t="n"/>
      <c r="AT62" s="49" t="n"/>
      <c r="AU62" s="115" t="n"/>
      <c r="AV62" s="83" t="n"/>
      <c r="AW62" s="49" t="n"/>
      <c r="AX62" s="49" t="n"/>
      <c r="AY62" s="115" t="n"/>
      <c r="AZ62" s="83" t="n"/>
      <c r="BA62" s="49" t="n"/>
      <c r="BB62" s="49" t="n"/>
      <c r="BC62" s="115" t="n"/>
      <c r="BD62" s="110">
        <f>SUM(K62,O62,S62,W62,AA62,AE62,AI62,AM62,AQ62,AU62,AY62,BC62)</f>
        <v/>
      </c>
      <c r="BE62" s="45" t="n"/>
      <c r="BF62" s="113" t="n"/>
      <c r="BG62" s="45" t="n"/>
      <c r="BH62" s="113" t="n"/>
      <c r="BI62" s="45" t="n"/>
      <c r="BJ62" s="113" t="n"/>
      <c r="BK62" s="45" t="n"/>
      <c r="BL62" s="113" t="n"/>
      <c r="BM62" s="45" t="n"/>
      <c r="BN62" s="113" t="n"/>
      <c r="BO62" s="114">
        <f>SUM(BF62,BH62,BJ62,BL62,BN62)</f>
        <v/>
      </c>
      <c r="BP62" s="45" t="n"/>
      <c r="BQ62" s="45" t="n"/>
      <c r="BR62" s="113" t="n"/>
      <c r="BS62" s="45" t="n"/>
      <c r="BT62" s="113" t="n"/>
      <c r="BU62" s="45" t="n"/>
      <c r="BV62" s="113" t="n"/>
      <c r="BW62" s="114">
        <f>SUM(BR62,BT62,BV62)</f>
        <v/>
      </c>
      <c r="BX62" s="45" t="n"/>
      <c r="BY62" s="114">
        <f>BD62 - IF(BP62="Y", 0, BO62) - IF(BX62="Y", 0, BW62)</f>
        <v/>
      </c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</row>
    <row r="63" ht="13.5" customHeight="1">
      <c r="B63" s="47">
        <f>$B$3</f>
        <v/>
      </c>
      <c r="C63" s="48">
        <f>$C$3</f>
        <v/>
      </c>
      <c r="D63" s="40">
        <f>IF(SUM(COUNTIF(H63, "*"), COUNTIF(L63, "*"), COUNTIF(P63, "*"), COUNTIF(T63, "*"), COUNTIF(X63, "*"), COUNTIF(AB63, "*"), COUNTIF(AF63, "*"), COUNTIF(AJ63, "*"), COUNTIF(AN63, "*"), COUNTIF(AR63, "*"), COUNTIF(AV63, "*"), COUNTIF(AZ63, "*"))&gt;0, "Y", "N")</f>
        <v/>
      </c>
      <c r="E63" s="49" t="n"/>
      <c r="F63" s="49" t="n"/>
      <c r="G63" s="59" t="n">
        <v>47665</v>
      </c>
      <c r="H63" s="83" t="n"/>
      <c r="I63" s="49" t="n"/>
      <c r="J63" s="50" t="n"/>
      <c r="K63" s="115" t="n"/>
      <c r="L63" s="83" t="n"/>
      <c r="M63" s="49" t="n"/>
      <c r="N63" s="49" t="n"/>
      <c r="O63" s="115" t="n"/>
      <c r="P63" s="83" t="n"/>
      <c r="Q63" s="49" t="n"/>
      <c r="R63" s="49" t="n"/>
      <c r="S63" s="115" t="n"/>
      <c r="T63" s="83" t="n"/>
      <c r="U63" s="49" t="n"/>
      <c r="V63" s="49" t="n"/>
      <c r="W63" s="116" t="n"/>
      <c r="X63" s="83" t="n"/>
      <c r="Y63" s="49" t="n"/>
      <c r="Z63" s="49" t="n"/>
      <c r="AA63" s="115" t="n"/>
      <c r="AB63" s="83" t="n"/>
      <c r="AC63" s="49" t="n"/>
      <c r="AD63" s="50" t="n"/>
      <c r="AE63" s="107" t="n"/>
      <c r="AF63" s="83" t="n"/>
      <c r="AG63" s="49" t="n"/>
      <c r="AH63" s="49" t="n"/>
      <c r="AI63" s="115" t="n"/>
      <c r="AJ63" s="83" t="n"/>
      <c r="AK63" s="49" t="n"/>
      <c r="AL63" s="49" t="n"/>
      <c r="AM63" s="115" t="n"/>
      <c r="AN63" s="83" t="n"/>
      <c r="AO63" s="49" t="n"/>
      <c r="AP63" s="49" t="n"/>
      <c r="AQ63" s="116" t="n"/>
      <c r="AR63" s="83" t="n"/>
      <c r="AS63" s="49" t="n"/>
      <c r="AT63" s="49" t="n"/>
      <c r="AU63" s="115" t="n"/>
      <c r="AV63" s="83" t="n"/>
      <c r="AW63" s="49" t="n"/>
      <c r="AX63" s="49" t="n"/>
      <c r="AY63" s="115" t="n"/>
      <c r="AZ63" s="83" t="n"/>
      <c r="BA63" s="49" t="n"/>
      <c r="BB63" s="49" t="n"/>
      <c r="BC63" s="115" t="n"/>
      <c r="BD63" s="110">
        <f>SUM(K63,O63,S63,W63,AA63,AE63,AI63,AM63,AQ63,AU63,AY63,BC63)</f>
        <v/>
      </c>
      <c r="BE63" s="45" t="n"/>
      <c r="BF63" s="113" t="n"/>
      <c r="BG63" s="45" t="n"/>
      <c r="BH63" s="113" t="n"/>
      <c r="BI63" s="45" t="n"/>
      <c r="BJ63" s="113" t="n"/>
      <c r="BK63" s="45" t="n"/>
      <c r="BL63" s="113" t="n"/>
      <c r="BM63" s="45" t="n"/>
      <c r="BN63" s="113" t="n"/>
      <c r="BO63" s="114">
        <f>SUM(BF63,BH63,BJ63,BL63,BN63)</f>
        <v/>
      </c>
      <c r="BP63" s="45" t="n"/>
      <c r="BQ63" s="45" t="n"/>
      <c r="BR63" s="113" t="n"/>
      <c r="BS63" s="45" t="n"/>
      <c r="BT63" s="113" t="n"/>
      <c r="BU63" s="45" t="n"/>
      <c r="BV63" s="113" t="n"/>
      <c r="BW63" s="114">
        <f>SUM(BR63,BT63,BV63)</f>
        <v/>
      </c>
      <c r="BX63" s="45" t="n"/>
      <c r="BY63" s="114">
        <f>BD63 - IF(BP63="Y", 0, BO63) - IF(BX63="Y", 0, BW63)</f>
        <v/>
      </c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</row>
    <row r="64" ht="13.5" customHeight="1">
      <c r="B64" s="47">
        <f>$B$3</f>
        <v/>
      </c>
      <c r="C64" s="48">
        <f>$C$3</f>
        <v/>
      </c>
      <c r="D64" s="40">
        <f>IF(SUM(COUNTIF(H64, "*"), COUNTIF(L64, "*"), COUNTIF(P64, "*"), COUNTIF(T64, "*"), COUNTIF(X64, "*"), COUNTIF(AB64, "*"), COUNTIF(AF64, "*"), COUNTIF(AJ64, "*"), COUNTIF(AN64, "*"), COUNTIF(AR64, "*"), COUNTIF(AV64, "*"), COUNTIF(AZ64, "*"))&gt;0, "Y", "N")</f>
        <v/>
      </c>
      <c r="E64" s="49" t="n"/>
      <c r="F64" s="49" t="n"/>
      <c r="G64" s="59" t="n">
        <v>47696</v>
      </c>
      <c r="H64" s="83" t="n"/>
      <c r="I64" s="49" t="n"/>
      <c r="J64" s="50" t="n"/>
      <c r="K64" s="115" t="n"/>
      <c r="L64" s="83" t="n"/>
      <c r="M64" s="49" t="n"/>
      <c r="N64" s="49" t="n"/>
      <c r="O64" s="115" t="n"/>
      <c r="P64" s="83" t="n"/>
      <c r="Q64" s="49" t="n"/>
      <c r="R64" s="49" t="n"/>
      <c r="S64" s="115" t="n"/>
      <c r="T64" s="83" t="n"/>
      <c r="U64" s="49" t="n"/>
      <c r="V64" s="49" t="n"/>
      <c r="W64" s="116" t="n"/>
      <c r="X64" s="83" t="n"/>
      <c r="Y64" s="49" t="n"/>
      <c r="Z64" s="49" t="n"/>
      <c r="AA64" s="115" t="n"/>
      <c r="AB64" s="83" t="n"/>
      <c r="AC64" s="49" t="n"/>
      <c r="AD64" s="50" t="n"/>
      <c r="AE64" s="107" t="n"/>
      <c r="AF64" s="83" t="n"/>
      <c r="AG64" s="49" t="n"/>
      <c r="AH64" s="49" t="n"/>
      <c r="AI64" s="115" t="n"/>
      <c r="AJ64" s="83" t="n"/>
      <c r="AK64" s="49" t="n"/>
      <c r="AL64" s="49" t="n"/>
      <c r="AM64" s="115" t="n"/>
      <c r="AN64" s="83" t="n"/>
      <c r="AO64" s="49" t="n"/>
      <c r="AP64" s="49" t="n"/>
      <c r="AQ64" s="116" t="n"/>
      <c r="AR64" s="83" t="n"/>
      <c r="AS64" s="49" t="n"/>
      <c r="AT64" s="49" t="n"/>
      <c r="AU64" s="115" t="n"/>
      <c r="AV64" s="83" t="n"/>
      <c r="AW64" s="49" t="n"/>
      <c r="AX64" s="49" t="n"/>
      <c r="AY64" s="115" t="n"/>
      <c r="AZ64" s="83" t="n"/>
      <c r="BA64" s="49" t="n"/>
      <c r="BB64" s="49" t="n"/>
      <c r="BC64" s="115" t="n"/>
      <c r="BD64" s="110">
        <f>SUM(K64,O64,S64,W64,AA64,AE64,AI64,AM64,AQ64,AU64,AY64,BC64)</f>
        <v/>
      </c>
      <c r="BE64" s="45" t="n"/>
      <c r="BF64" s="113" t="n"/>
      <c r="BG64" s="45" t="n"/>
      <c r="BH64" s="113" t="n"/>
      <c r="BI64" s="45" t="n"/>
      <c r="BJ64" s="113" t="n"/>
      <c r="BK64" s="45" t="n"/>
      <c r="BL64" s="113" t="n"/>
      <c r="BM64" s="45" t="n"/>
      <c r="BN64" s="113" t="n"/>
      <c r="BO64" s="114">
        <f>SUM(BF64,BH64,BJ64,BL64,BN64)</f>
        <v/>
      </c>
      <c r="BP64" s="45" t="n"/>
      <c r="BQ64" s="45" t="n"/>
      <c r="BR64" s="113" t="n"/>
      <c r="BS64" s="45" t="n"/>
      <c r="BT64" s="113" t="n"/>
      <c r="BU64" s="45" t="n"/>
      <c r="BV64" s="113" t="n"/>
      <c r="BW64" s="114">
        <f>SUM(BR64,BT64,BV64)</f>
        <v/>
      </c>
      <c r="BX64" s="45" t="n"/>
      <c r="BY64" s="114">
        <f>BD64 - IF(BP64="Y", 0, BO64) - IF(BX64="Y", 0, BW64)</f>
        <v/>
      </c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</row>
    <row r="65" ht="13.5" customHeight="1">
      <c r="B65" s="47">
        <f>$B$3</f>
        <v/>
      </c>
      <c r="C65" s="48">
        <f>$C$3</f>
        <v/>
      </c>
      <c r="D65" s="40">
        <f>IF(SUM(COUNTIF(H65, "*"), COUNTIF(L65, "*"), COUNTIF(P65, "*"), COUNTIF(T65, "*"), COUNTIF(X65, "*"), COUNTIF(AB65, "*"), COUNTIF(AF65, "*"), COUNTIF(AJ65, "*"), COUNTIF(AN65, "*"), COUNTIF(AR65, "*"), COUNTIF(AV65, "*"), COUNTIF(AZ65, "*"))&gt;0, "Y", "N")</f>
        <v/>
      </c>
      <c r="E65" s="49" t="n"/>
      <c r="F65" s="49" t="n"/>
      <c r="G65" s="59" t="n">
        <v>47727</v>
      </c>
      <c r="H65" s="83" t="n"/>
      <c r="I65" s="49" t="n"/>
      <c r="J65" s="50" t="n"/>
      <c r="K65" s="115" t="n"/>
      <c r="L65" s="83" t="n"/>
      <c r="M65" s="49" t="n"/>
      <c r="N65" s="49" t="n"/>
      <c r="O65" s="115" t="n"/>
      <c r="P65" s="83" t="n"/>
      <c r="Q65" s="49" t="n"/>
      <c r="R65" s="49" t="n"/>
      <c r="S65" s="115" t="n"/>
      <c r="T65" s="83" t="n"/>
      <c r="U65" s="49" t="n"/>
      <c r="V65" s="49" t="n"/>
      <c r="W65" s="116" t="n"/>
      <c r="X65" s="83" t="n"/>
      <c r="Y65" s="49" t="n"/>
      <c r="Z65" s="49" t="n"/>
      <c r="AA65" s="115" t="n"/>
      <c r="AB65" s="83" t="n"/>
      <c r="AC65" s="49" t="n"/>
      <c r="AD65" s="50" t="n"/>
      <c r="AE65" s="107" t="n"/>
      <c r="AF65" s="83" t="n"/>
      <c r="AG65" s="49" t="n"/>
      <c r="AH65" s="49" t="n"/>
      <c r="AI65" s="115" t="n"/>
      <c r="AJ65" s="83" t="n"/>
      <c r="AK65" s="49" t="n"/>
      <c r="AL65" s="49" t="n"/>
      <c r="AM65" s="115" t="n"/>
      <c r="AN65" s="83" t="n"/>
      <c r="AO65" s="49" t="n"/>
      <c r="AP65" s="49" t="n"/>
      <c r="AQ65" s="116" t="n"/>
      <c r="AR65" s="83" t="n"/>
      <c r="AS65" s="49" t="n"/>
      <c r="AT65" s="49" t="n"/>
      <c r="AU65" s="115" t="n"/>
      <c r="AV65" s="83" t="n"/>
      <c r="AW65" s="49" t="n"/>
      <c r="AX65" s="49" t="n"/>
      <c r="AY65" s="115" t="n"/>
      <c r="AZ65" s="83" t="n"/>
      <c r="BA65" s="49" t="n"/>
      <c r="BB65" s="49" t="n"/>
      <c r="BC65" s="115" t="n"/>
      <c r="BD65" s="110">
        <f>SUM(K65,O65,S65,W65,AA65,AE65,AI65,AM65,AQ65,AU65,AY65,BC65)</f>
        <v/>
      </c>
      <c r="BE65" s="45" t="n"/>
      <c r="BF65" s="113" t="n"/>
      <c r="BG65" s="45" t="n"/>
      <c r="BH65" s="113" t="n"/>
      <c r="BI65" s="45" t="n"/>
      <c r="BJ65" s="113" t="n"/>
      <c r="BK65" s="45" t="n"/>
      <c r="BL65" s="113" t="n"/>
      <c r="BM65" s="45" t="n"/>
      <c r="BN65" s="113" t="n"/>
      <c r="BO65" s="114">
        <f>SUM(BF65,BH65,BJ65,BL65,BN65)</f>
        <v/>
      </c>
      <c r="BP65" s="45" t="n"/>
      <c r="BQ65" s="45" t="n"/>
      <c r="BR65" s="113" t="n"/>
      <c r="BS65" s="45" t="n"/>
      <c r="BT65" s="113" t="n"/>
      <c r="BU65" s="45" t="n"/>
      <c r="BV65" s="113" t="n"/>
      <c r="BW65" s="114">
        <f>SUM(BR65,BT65,BV65)</f>
        <v/>
      </c>
      <c r="BX65" s="45" t="n"/>
      <c r="BY65" s="114">
        <f>BD65 - IF(BP65="Y", 0, BO65) - IF(BX65="Y", 0, BW65)</f>
        <v/>
      </c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</row>
    <row r="66" ht="13.5" customHeight="1">
      <c r="B66" s="47">
        <f>$B$3</f>
        <v/>
      </c>
      <c r="C66" s="48">
        <f>$C$3</f>
        <v/>
      </c>
      <c r="D66" s="40">
        <f>IF(SUM(COUNTIF(H66, "*"), COUNTIF(L66, "*"), COUNTIF(P66, "*"), COUNTIF(T66, "*"), COUNTIF(X66, "*"), COUNTIF(AB66, "*"), COUNTIF(AF66, "*"), COUNTIF(AJ66, "*"), COUNTIF(AN66, "*"), COUNTIF(AR66, "*"), COUNTIF(AV66, "*"), COUNTIF(AZ66, "*"))&gt;0, "Y", "N")</f>
        <v/>
      </c>
      <c r="E66" s="49" t="n"/>
      <c r="F66" s="49" t="n"/>
      <c r="G66" s="59" t="n">
        <v>47757</v>
      </c>
      <c r="H66" s="83" t="n"/>
      <c r="I66" s="49" t="n"/>
      <c r="J66" s="50" t="n"/>
      <c r="K66" s="115" t="n"/>
      <c r="L66" s="83" t="n"/>
      <c r="M66" s="49" t="n"/>
      <c r="N66" s="49" t="n"/>
      <c r="O66" s="115" t="n"/>
      <c r="P66" s="83" t="n"/>
      <c r="Q66" s="49" t="n"/>
      <c r="R66" s="49" t="n"/>
      <c r="S66" s="115" t="n"/>
      <c r="T66" s="83" t="n"/>
      <c r="U66" s="49" t="n"/>
      <c r="V66" s="49" t="n"/>
      <c r="W66" s="116" t="n"/>
      <c r="X66" s="83" t="n"/>
      <c r="Y66" s="49" t="n"/>
      <c r="Z66" s="49" t="n"/>
      <c r="AA66" s="115" t="n"/>
      <c r="AB66" s="83" t="n"/>
      <c r="AC66" s="49" t="n"/>
      <c r="AD66" s="50" t="n"/>
      <c r="AE66" s="107" t="n"/>
      <c r="AF66" s="83" t="n"/>
      <c r="AG66" s="49" t="n"/>
      <c r="AH66" s="49" t="n"/>
      <c r="AI66" s="115" t="n"/>
      <c r="AJ66" s="83" t="n"/>
      <c r="AK66" s="49" t="n"/>
      <c r="AL66" s="49" t="n"/>
      <c r="AM66" s="115" t="n"/>
      <c r="AN66" s="83" t="n"/>
      <c r="AO66" s="49" t="n"/>
      <c r="AP66" s="49" t="n"/>
      <c r="AQ66" s="116" t="n"/>
      <c r="AR66" s="83" t="n"/>
      <c r="AS66" s="49" t="n"/>
      <c r="AT66" s="49" t="n"/>
      <c r="AU66" s="115" t="n"/>
      <c r="AV66" s="83" t="n"/>
      <c r="AW66" s="49" t="n"/>
      <c r="AX66" s="49" t="n"/>
      <c r="AY66" s="115" t="n"/>
      <c r="AZ66" s="83" t="n"/>
      <c r="BA66" s="49" t="n"/>
      <c r="BB66" s="49" t="n"/>
      <c r="BC66" s="115" t="n"/>
      <c r="BD66" s="110">
        <f>SUM(K66,O66,S66,W66,AA66,AE66,AI66,AM66,AQ66,AU66,AY66,BC66)</f>
        <v/>
      </c>
      <c r="BE66" s="45" t="n"/>
      <c r="BF66" s="113" t="n"/>
      <c r="BG66" s="45" t="n"/>
      <c r="BH66" s="113" t="n"/>
      <c r="BI66" s="45" t="n"/>
      <c r="BJ66" s="113" t="n"/>
      <c r="BK66" s="45" t="n"/>
      <c r="BL66" s="113" t="n"/>
      <c r="BM66" s="45" t="n"/>
      <c r="BN66" s="113" t="n"/>
      <c r="BO66" s="114">
        <f>SUM(BF66,BH66,BJ66,BL66,BN66)</f>
        <v/>
      </c>
      <c r="BP66" s="45" t="n"/>
      <c r="BQ66" s="45" t="n"/>
      <c r="BR66" s="113" t="n"/>
      <c r="BS66" s="45" t="n"/>
      <c r="BT66" s="113" t="n"/>
      <c r="BU66" s="45" t="n"/>
      <c r="BV66" s="113" t="n"/>
      <c r="BW66" s="114">
        <f>SUM(BR66,BT66,BV66)</f>
        <v/>
      </c>
      <c r="BX66" s="45" t="n"/>
      <c r="BY66" s="114">
        <f>BD66 - IF(BP66="Y", 0, BO66) - IF(BX66="Y", 0, BW66)</f>
        <v/>
      </c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</row>
    <row r="67" ht="13.5" customHeight="1">
      <c r="B67" s="47">
        <f>$B$3</f>
        <v/>
      </c>
      <c r="C67" s="48">
        <f>$C$3</f>
        <v/>
      </c>
      <c r="D67" s="40">
        <f>IF(SUM(COUNTIF(H67, "*"), COUNTIF(L67, "*"), COUNTIF(P67, "*"), COUNTIF(T67, "*"), COUNTIF(X67, "*"), COUNTIF(AB67, "*"), COUNTIF(AF67, "*"), COUNTIF(AJ67, "*"), COUNTIF(AN67, "*"), COUNTIF(AR67, "*"), COUNTIF(AV67, "*"), COUNTIF(AZ67, "*"))&gt;0, "Y", "N")</f>
        <v/>
      </c>
      <c r="E67" s="49" t="n"/>
      <c r="F67" s="49" t="n"/>
      <c r="G67" s="59" t="n">
        <v>47788</v>
      </c>
      <c r="H67" s="83" t="n"/>
      <c r="I67" s="49" t="n"/>
      <c r="J67" s="50" t="n"/>
      <c r="K67" s="115" t="n"/>
      <c r="L67" s="83" t="n"/>
      <c r="M67" s="49" t="n"/>
      <c r="N67" s="49" t="n"/>
      <c r="O67" s="115" t="n"/>
      <c r="P67" s="83" t="n"/>
      <c r="Q67" s="49" t="n"/>
      <c r="R67" s="49" t="n"/>
      <c r="S67" s="115" t="n"/>
      <c r="T67" s="83" t="n"/>
      <c r="U67" s="49" t="n"/>
      <c r="V67" s="49" t="n"/>
      <c r="W67" s="116" t="n"/>
      <c r="X67" s="83" t="n"/>
      <c r="Y67" s="49" t="n"/>
      <c r="Z67" s="49" t="n"/>
      <c r="AA67" s="115" t="n"/>
      <c r="AB67" s="83" t="n"/>
      <c r="AC67" s="49" t="n"/>
      <c r="AD67" s="50" t="n"/>
      <c r="AE67" s="115" t="n"/>
      <c r="AF67" s="83" t="n"/>
      <c r="AG67" s="49" t="n"/>
      <c r="AH67" s="49" t="n"/>
      <c r="AI67" s="115" t="n"/>
      <c r="AJ67" s="83" t="n"/>
      <c r="AK67" s="49" t="n"/>
      <c r="AL67" s="49" t="n"/>
      <c r="AM67" s="115" t="n"/>
      <c r="AN67" s="83" t="n"/>
      <c r="AO67" s="49" t="n"/>
      <c r="AP67" s="49" t="n"/>
      <c r="AQ67" s="116" t="n"/>
      <c r="AR67" s="83" t="n"/>
      <c r="AS67" s="49" t="n"/>
      <c r="AT67" s="49" t="n"/>
      <c r="AU67" s="115" t="n"/>
      <c r="AV67" s="83" t="n"/>
      <c r="AW67" s="49" t="n"/>
      <c r="AX67" s="49" t="n"/>
      <c r="AY67" s="115" t="n"/>
      <c r="AZ67" s="83" t="n"/>
      <c r="BA67" s="49" t="n"/>
      <c r="BB67" s="49" t="n"/>
      <c r="BC67" s="115" t="n"/>
      <c r="BD67" s="110">
        <f>SUM(K67,O67,S67,W67,AA67,AE67,AI67,AM67,AQ67,AU67,AY67,BC67)</f>
        <v/>
      </c>
      <c r="BE67" s="45" t="n"/>
      <c r="BF67" s="113" t="n"/>
      <c r="BG67" s="45" t="n"/>
      <c r="BH67" s="113" t="n"/>
      <c r="BI67" s="45" t="n"/>
      <c r="BJ67" s="113" t="n"/>
      <c r="BK67" s="45" t="n"/>
      <c r="BL67" s="113" t="n"/>
      <c r="BM67" s="45" t="n"/>
      <c r="BN67" s="113" t="n"/>
      <c r="BO67" s="114">
        <f>SUM(BF67,BH67,BJ67,BL67,BN67)</f>
        <v/>
      </c>
      <c r="BP67" s="45" t="n"/>
      <c r="BQ67" s="45" t="n"/>
      <c r="BR67" s="113" t="n"/>
      <c r="BS67" s="45" t="n"/>
      <c r="BT67" s="113" t="n"/>
      <c r="BU67" s="45" t="n"/>
      <c r="BV67" s="113" t="n"/>
      <c r="BW67" s="114">
        <f>SUM(BR67,BT67,BV67)</f>
        <v/>
      </c>
      <c r="BX67" s="45" t="n"/>
      <c r="BY67" s="114">
        <f>BD67 - IF(BP67="Y", 0, BO67) - IF(BX67="Y", 0, BW67)</f>
        <v/>
      </c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</row>
    <row r="68" ht="13.5" customHeight="1">
      <c r="B68" s="47">
        <f>$B$3</f>
        <v/>
      </c>
      <c r="C68" s="48">
        <f>$C$3</f>
        <v/>
      </c>
      <c r="D68" s="40">
        <f>IF(SUM(COUNTIF(H68, "*"), COUNTIF(L68, "*"), COUNTIF(P68, "*"), COUNTIF(T68, "*"), COUNTIF(X68, "*"), COUNTIF(AB68, "*"), COUNTIF(AF68, "*"), COUNTIF(AJ68, "*"), COUNTIF(AN68, "*"), COUNTIF(AR68, "*"), COUNTIF(AV68, "*"), COUNTIF(AZ68, "*"))&gt;0, "Y", "N")</f>
        <v/>
      </c>
      <c r="E68" s="49" t="n"/>
      <c r="F68" s="49" t="n"/>
      <c r="G68" s="59" t="n">
        <v>47818</v>
      </c>
      <c r="H68" s="83" t="n"/>
      <c r="I68" s="49" t="n"/>
      <c r="J68" s="50" t="n"/>
      <c r="K68" s="115" t="n"/>
      <c r="L68" s="83" t="n"/>
      <c r="M68" s="49" t="n"/>
      <c r="N68" s="49" t="n"/>
      <c r="O68" s="115" t="n"/>
      <c r="P68" s="83" t="n"/>
      <c r="Q68" s="49" t="n"/>
      <c r="R68" s="49" t="n"/>
      <c r="S68" s="115" t="n"/>
      <c r="T68" s="83" t="n"/>
      <c r="U68" s="49" t="n"/>
      <c r="V68" s="49" t="n"/>
      <c r="W68" s="116" t="n"/>
      <c r="X68" s="83" t="n"/>
      <c r="Y68" s="49" t="n"/>
      <c r="Z68" s="49" t="n"/>
      <c r="AA68" s="115" t="n"/>
      <c r="AB68" s="83" t="n"/>
      <c r="AC68" s="49" t="n"/>
      <c r="AD68" s="50" t="n"/>
      <c r="AE68" s="115" t="n"/>
      <c r="AF68" s="83" t="n"/>
      <c r="AG68" s="49" t="n"/>
      <c r="AH68" s="49" t="n"/>
      <c r="AI68" s="115" t="n"/>
      <c r="AJ68" s="83" t="n"/>
      <c r="AK68" s="49" t="n"/>
      <c r="AL68" s="49" t="n"/>
      <c r="AM68" s="115" t="n"/>
      <c r="AN68" s="83" t="n"/>
      <c r="AO68" s="49" t="n"/>
      <c r="AP68" s="49" t="n"/>
      <c r="AQ68" s="116" t="n"/>
      <c r="AR68" s="83" t="n"/>
      <c r="AS68" s="49" t="n"/>
      <c r="AT68" s="49" t="n"/>
      <c r="AU68" s="115" t="n"/>
      <c r="AV68" s="83" t="n"/>
      <c r="AW68" s="49" t="n"/>
      <c r="AX68" s="49" t="n"/>
      <c r="AY68" s="115" t="n"/>
      <c r="AZ68" s="83" t="n"/>
      <c r="BA68" s="49" t="n"/>
      <c r="BB68" s="49" t="n"/>
      <c r="BC68" s="115" t="n"/>
      <c r="BD68" s="110">
        <f>SUM(K68,O68,S68,W68,AA68,AE68,AI68,AM68,AQ68,AU68,AY68,BC68)</f>
        <v/>
      </c>
      <c r="BE68" s="45" t="n"/>
      <c r="BF68" s="113" t="n"/>
      <c r="BG68" s="45" t="n"/>
      <c r="BH68" s="113" t="n"/>
      <c r="BI68" s="45" t="n"/>
      <c r="BJ68" s="113" t="n"/>
      <c r="BK68" s="45" t="n"/>
      <c r="BL68" s="113" t="n"/>
      <c r="BM68" s="45" t="n"/>
      <c r="BN68" s="113" t="n"/>
      <c r="BO68" s="114">
        <f>SUM(BF68,BH68,BJ68,BL68,BN68)</f>
        <v/>
      </c>
      <c r="BP68" s="45" t="n"/>
      <c r="BQ68" s="45" t="n"/>
      <c r="BR68" s="113" t="n"/>
      <c r="BS68" s="45" t="n"/>
      <c r="BT68" s="113" t="n"/>
      <c r="BU68" s="45" t="n"/>
      <c r="BV68" s="113" t="n"/>
      <c r="BW68" s="114">
        <f>SUM(BR68,BT68,BV68)</f>
        <v/>
      </c>
      <c r="BX68" s="45" t="n"/>
      <c r="BY68" s="114">
        <f>BD68 - IF(BP68="Y", 0, BO68) - IF(BX68="Y", 0, BW68)</f>
        <v/>
      </c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</row>
    <row r="69" ht="13.5" customHeight="1">
      <c r="B69" s="47">
        <f>$B$3</f>
        <v/>
      </c>
      <c r="C69" s="48">
        <f>$C$3</f>
        <v/>
      </c>
      <c r="D69" s="40">
        <f>IF(SUM(COUNTIF(H69, "*"), COUNTIF(L69, "*"), COUNTIF(P69, "*"), COUNTIF(T69, "*"), COUNTIF(X69, "*"), COUNTIF(AB69, "*"), COUNTIF(AF69, "*"), COUNTIF(AJ69, "*"), COUNTIF(AN69, "*"), COUNTIF(AR69, "*"), COUNTIF(AV69, "*"), COUNTIF(AZ69, "*"))&gt;0, "Y", "N")</f>
        <v/>
      </c>
      <c r="E69" s="49" t="n"/>
      <c r="F69" s="49" t="n"/>
      <c r="G69" s="59" t="n">
        <v>47849</v>
      </c>
      <c r="H69" s="83" t="n"/>
      <c r="I69" s="49" t="n"/>
      <c r="J69" s="50" t="n"/>
      <c r="K69" s="115" t="n"/>
      <c r="L69" s="83" t="n"/>
      <c r="M69" s="49" t="n"/>
      <c r="N69" s="49" t="n"/>
      <c r="O69" s="115" t="n"/>
      <c r="P69" s="83" t="n"/>
      <c r="Q69" s="49" t="n"/>
      <c r="R69" s="49" t="n"/>
      <c r="S69" s="115" t="n"/>
      <c r="T69" s="83" t="n"/>
      <c r="U69" s="49" t="n"/>
      <c r="V69" s="49" t="n"/>
      <c r="W69" s="116" t="n"/>
      <c r="X69" s="83" t="n"/>
      <c r="Y69" s="49" t="n"/>
      <c r="Z69" s="49" t="n"/>
      <c r="AA69" s="115" t="n"/>
      <c r="AB69" s="83" t="n"/>
      <c r="AC69" s="49" t="n"/>
      <c r="AD69" s="50" t="n"/>
      <c r="AE69" s="115" t="n"/>
      <c r="AF69" s="83" t="n"/>
      <c r="AG69" s="49" t="n"/>
      <c r="AH69" s="49" t="n"/>
      <c r="AI69" s="115" t="n"/>
      <c r="AJ69" s="83" t="n"/>
      <c r="AK69" s="49" t="n"/>
      <c r="AL69" s="49" t="n"/>
      <c r="AM69" s="115" t="n"/>
      <c r="AN69" s="83" t="n"/>
      <c r="AO69" s="49" t="n"/>
      <c r="AP69" s="49" t="n"/>
      <c r="AQ69" s="116" t="n"/>
      <c r="AR69" s="83" t="n"/>
      <c r="AS69" s="49" t="n"/>
      <c r="AT69" s="49" t="n"/>
      <c r="AU69" s="115" t="n"/>
      <c r="AV69" s="83" t="n"/>
      <c r="AW69" s="49" t="n"/>
      <c r="AX69" s="49" t="n"/>
      <c r="AY69" s="115" t="n"/>
      <c r="AZ69" s="83" t="n"/>
      <c r="BA69" s="49" t="n"/>
      <c r="BB69" s="49" t="n"/>
      <c r="BC69" s="115" t="n"/>
      <c r="BD69" s="110">
        <f>SUM(K69,O69,S69,W69,AA69,AE69,AI69,AM69,AQ69,AU69,AY69,BC69)</f>
        <v/>
      </c>
      <c r="BE69" s="45" t="n"/>
      <c r="BF69" s="113" t="n"/>
      <c r="BG69" s="45" t="n"/>
      <c r="BH69" s="113" t="n"/>
      <c r="BI69" s="45" t="n"/>
      <c r="BJ69" s="113" t="n"/>
      <c r="BK69" s="45" t="n"/>
      <c r="BL69" s="113" t="n"/>
      <c r="BM69" s="45" t="n"/>
      <c r="BN69" s="113" t="n"/>
      <c r="BO69" s="114">
        <f>SUM(BF69,BH69,BJ69,BL69,BN69)</f>
        <v/>
      </c>
      <c r="BP69" s="45" t="n"/>
      <c r="BQ69" s="45" t="n"/>
      <c r="BR69" s="113" t="n"/>
      <c r="BS69" s="45" t="n"/>
      <c r="BT69" s="113" t="n"/>
      <c r="BU69" s="45" t="n"/>
      <c r="BV69" s="113" t="n"/>
      <c r="BW69" s="114">
        <f>SUM(BR69,BT69,BV69)</f>
        <v/>
      </c>
      <c r="BX69" s="45" t="n"/>
      <c r="BY69" s="114">
        <f>BD69 - IF(BP69="Y", 0, BO69) - IF(BX69="Y", 0, BW69)</f>
        <v/>
      </c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</row>
    <row r="70" ht="13.5" customHeight="1">
      <c r="B70" s="47">
        <f>$B$3</f>
        <v/>
      </c>
      <c r="C70" s="48">
        <f>$C$3</f>
        <v/>
      </c>
      <c r="D70" s="40">
        <f>IF(SUM(COUNTIF(H70, "*"), COUNTIF(L70, "*"), COUNTIF(P70, "*"), COUNTIF(T70, "*"), COUNTIF(X70, "*"), COUNTIF(AB70, "*"), COUNTIF(AF70, "*"), COUNTIF(AJ70, "*"), COUNTIF(AN70, "*"), COUNTIF(AR70, "*"), COUNTIF(AV70, "*"), COUNTIF(AZ70, "*"))&gt;0, "Y", "N")</f>
        <v/>
      </c>
      <c r="E70" s="49" t="n"/>
      <c r="F70" s="49" t="n"/>
      <c r="G70" s="59" t="n">
        <v>47880</v>
      </c>
      <c r="H70" s="83" t="n"/>
      <c r="I70" s="49" t="n"/>
      <c r="J70" s="50" t="n"/>
      <c r="K70" s="115" t="n"/>
      <c r="L70" s="83" t="n"/>
      <c r="M70" s="49" t="n"/>
      <c r="N70" s="49" t="n"/>
      <c r="O70" s="115" t="n"/>
      <c r="P70" s="83" t="n"/>
      <c r="Q70" s="49" t="n"/>
      <c r="R70" s="49" t="n"/>
      <c r="S70" s="115" t="n"/>
      <c r="T70" s="83" t="n"/>
      <c r="U70" s="49" t="n"/>
      <c r="V70" s="49" t="n"/>
      <c r="W70" s="116" t="n"/>
      <c r="X70" s="83" t="n"/>
      <c r="Y70" s="49" t="n"/>
      <c r="Z70" s="49" t="n"/>
      <c r="AA70" s="115" t="n"/>
      <c r="AB70" s="83" t="n"/>
      <c r="AC70" s="49" t="n"/>
      <c r="AD70" s="50" t="n"/>
      <c r="AE70" s="115" t="n"/>
      <c r="AF70" s="83" t="n"/>
      <c r="AG70" s="49" t="n"/>
      <c r="AH70" s="49" t="n"/>
      <c r="AI70" s="115" t="n"/>
      <c r="AJ70" s="83" t="n"/>
      <c r="AK70" s="49" t="n"/>
      <c r="AL70" s="49" t="n"/>
      <c r="AM70" s="115" t="n"/>
      <c r="AN70" s="83" t="n"/>
      <c r="AO70" s="49" t="n"/>
      <c r="AP70" s="49" t="n"/>
      <c r="AQ70" s="116" t="n"/>
      <c r="AR70" s="83" t="n"/>
      <c r="AS70" s="49" t="n"/>
      <c r="AT70" s="49" t="n"/>
      <c r="AU70" s="115" t="n"/>
      <c r="AV70" s="83" t="n"/>
      <c r="AW70" s="49" t="n"/>
      <c r="AX70" s="49" t="n"/>
      <c r="AY70" s="115" t="n"/>
      <c r="AZ70" s="83" t="n"/>
      <c r="BA70" s="49" t="n"/>
      <c r="BB70" s="49" t="n"/>
      <c r="BC70" s="115" t="n"/>
      <c r="BD70" s="110">
        <f>SUM(K70,O70,S70,W70,AA70,AE70,AI70,AM70,AQ70,AU70,AY70,BC70)</f>
        <v/>
      </c>
      <c r="BE70" s="45" t="n"/>
      <c r="BF70" s="113" t="n"/>
      <c r="BG70" s="45" t="n"/>
      <c r="BH70" s="113" t="n"/>
      <c r="BI70" s="45" t="n"/>
      <c r="BJ70" s="113" t="n"/>
      <c r="BK70" s="45" t="n"/>
      <c r="BL70" s="113" t="n"/>
      <c r="BM70" s="45" t="n"/>
      <c r="BN70" s="113" t="n"/>
      <c r="BO70" s="114">
        <f>SUM(BF70,BH70,BJ70,BL70,BN70)</f>
        <v/>
      </c>
      <c r="BP70" s="45" t="n"/>
      <c r="BQ70" s="45" t="n"/>
      <c r="BR70" s="113" t="n"/>
      <c r="BS70" s="45" t="n"/>
      <c r="BT70" s="113" t="n"/>
      <c r="BU70" s="45" t="n"/>
      <c r="BV70" s="113" t="n"/>
      <c r="BW70" s="114">
        <f>SUM(BR70,BT70,BV70)</f>
        <v/>
      </c>
      <c r="BX70" s="45" t="n"/>
      <c r="BY70" s="114">
        <f>BD70 - IF(BP70="Y", 0, BO70) - IF(BX70="Y", 0, BW70)</f>
        <v/>
      </c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</row>
    <row r="71" ht="13.5" customHeight="1">
      <c r="B71" s="47">
        <f>$B$3</f>
        <v/>
      </c>
      <c r="C71" s="48">
        <f>$C$3</f>
        <v/>
      </c>
      <c r="D71" s="40">
        <f>IF(SUM(COUNTIF(H71, "*"), COUNTIF(L71, "*"), COUNTIF(P71, "*"), COUNTIF(T71, "*"), COUNTIF(X71, "*"), COUNTIF(AB71, "*"), COUNTIF(AF71, "*"), COUNTIF(AJ71, "*"), COUNTIF(AN71, "*"), COUNTIF(AR71, "*"), COUNTIF(AV71, "*"), COUNTIF(AZ71, "*"))&gt;0, "Y", "N")</f>
        <v/>
      </c>
      <c r="E71" s="49" t="n"/>
      <c r="F71" s="49" t="n"/>
      <c r="G71" s="59" t="n">
        <v>47908</v>
      </c>
      <c r="H71" s="83" t="n"/>
      <c r="I71" s="49" t="n"/>
      <c r="J71" s="50" t="n"/>
      <c r="K71" s="115" t="n"/>
      <c r="L71" s="83" t="n"/>
      <c r="M71" s="49" t="n"/>
      <c r="N71" s="49" t="n"/>
      <c r="O71" s="115" t="n"/>
      <c r="P71" s="83" t="n"/>
      <c r="Q71" s="49" t="n"/>
      <c r="R71" s="49" t="n"/>
      <c r="S71" s="115" t="n"/>
      <c r="T71" s="83" t="n"/>
      <c r="U71" s="49" t="n"/>
      <c r="V71" s="49" t="n"/>
      <c r="W71" s="116" t="n"/>
      <c r="X71" s="83" t="n"/>
      <c r="Y71" s="49" t="n"/>
      <c r="Z71" s="49" t="n"/>
      <c r="AA71" s="115" t="n"/>
      <c r="AB71" s="83" t="n"/>
      <c r="AC71" s="49" t="n"/>
      <c r="AD71" s="50" t="n"/>
      <c r="AE71" s="115" t="n"/>
      <c r="AF71" s="83" t="n"/>
      <c r="AG71" s="49" t="n"/>
      <c r="AH71" s="49" t="n"/>
      <c r="AI71" s="115" t="n"/>
      <c r="AJ71" s="83" t="n"/>
      <c r="AK71" s="49" t="n"/>
      <c r="AL71" s="49" t="n"/>
      <c r="AM71" s="115" t="n"/>
      <c r="AN71" s="83" t="n"/>
      <c r="AO71" s="49" t="n"/>
      <c r="AP71" s="49" t="n"/>
      <c r="AQ71" s="116" t="n"/>
      <c r="AR71" s="83" t="n"/>
      <c r="AS71" s="49" t="n"/>
      <c r="AT71" s="49" t="n"/>
      <c r="AU71" s="115" t="n"/>
      <c r="AV71" s="83" t="n"/>
      <c r="AW71" s="49" t="n"/>
      <c r="AX71" s="49" t="n"/>
      <c r="AY71" s="115" t="n"/>
      <c r="AZ71" s="83" t="n"/>
      <c r="BA71" s="49" t="n"/>
      <c r="BB71" s="49" t="n"/>
      <c r="BC71" s="115" t="n"/>
      <c r="BD71" s="110">
        <f>SUM(K71,O71,S71,W71,AA71,AE71,AI71,AM71,AQ71,AU71,AY71,BC71)</f>
        <v/>
      </c>
      <c r="BE71" s="45" t="n"/>
      <c r="BF71" s="113" t="n"/>
      <c r="BG71" s="45" t="n"/>
      <c r="BH71" s="113" t="n"/>
      <c r="BI71" s="45" t="n"/>
      <c r="BJ71" s="113" t="n"/>
      <c r="BK71" s="45" t="n"/>
      <c r="BL71" s="113" t="n"/>
      <c r="BM71" s="45" t="n"/>
      <c r="BN71" s="113" t="n"/>
      <c r="BO71" s="114">
        <f>SUM(BF71,BH71,BJ71,BL71,BN71)</f>
        <v/>
      </c>
      <c r="BP71" s="45" t="n"/>
      <c r="BQ71" s="45" t="n"/>
      <c r="BR71" s="113" t="n"/>
      <c r="BS71" s="45" t="n"/>
      <c r="BT71" s="113" t="n"/>
      <c r="BU71" s="45" t="n"/>
      <c r="BV71" s="113" t="n"/>
      <c r="BW71" s="114">
        <f>SUM(BR71,BT71,BV71)</f>
        <v/>
      </c>
      <c r="BX71" s="45" t="n"/>
      <c r="BY71" s="114">
        <f>BD71 - IF(BP71="Y", 0, BO71) - IF(BX71="Y", 0, BW71)</f>
        <v/>
      </c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</row>
    <row r="72" ht="13.5" customHeight="1">
      <c r="B72" s="47">
        <f>$B$3</f>
        <v/>
      </c>
      <c r="C72" s="48">
        <f>$C$3</f>
        <v/>
      </c>
      <c r="D72" s="40">
        <f>IF(SUM(COUNTIF(H72, "*"), COUNTIF(L72, "*"), COUNTIF(P72, "*"), COUNTIF(T72, "*"), COUNTIF(X72, "*"), COUNTIF(AB72, "*"), COUNTIF(AF72, "*"), COUNTIF(AJ72, "*"), COUNTIF(AN72, "*"), COUNTIF(AR72, "*"), COUNTIF(AV72, "*"), COUNTIF(AZ72, "*"))&gt;0, "Y", "N")</f>
        <v/>
      </c>
      <c r="E72" s="49" t="n"/>
      <c r="F72" s="49" t="n"/>
      <c r="G72" s="59" t="n">
        <v>47939</v>
      </c>
      <c r="H72" s="83" t="n"/>
      <c r="I72" s="49" t="n"/>
      <c r="J72" s="50" t="n"/>
      <c r="K72" s="115" t="n"/>
      <c r="L72" s="83" t="n"/>
      <c r="M72" s="49" t="n"/>
      <c r="N72" s="49" t="n"/>
      <c r="O72" s="115" t="n"/>
      <c r="P72" s="83" t="n"/>
      <c r="Q72" s="49" t="n"/>
      <c r="R72" s="49" t="n"/>
      <c r="S72" s="115" t="n"/>
      <c r="T72" s="83" t="n"/>
      <c r="U72" s="49" t="n"/>
      <c r="V72" s="49" t="n"/>
      <c r="W72" s="116" t="n"/>
      <c r="X72" s="83" t="n"/>
      <c r="Y72" s="49" t="n"/>
      <c r="Z72" s="49" t="n"/>
      <c r="AA72" s="115" t="n"/>
      <c r="AB72" s="83" t="n"/>
      <c r="AC72" s="49" t="n"/>
      <c r="AD72" s="50" t="n"/>
      <c r="AE72" s="115" t="n"/>
      <c r="AF72" s="83" t="n"/>
      <c r="AG72" s="49" t="n"/>
      <c r="AH72" s="49" t="n"/>
      <c r="AI72" s="115" t="n"/>
      <c r="AJ72" s="83" t="n"/>
      <c r="AK72" s="49" t="n"/>
      <c r="AL72" s="49" t="n"/>
      <c r="AM72" s="115" t="n"/>
      <c r="AN72" s="83" t="n"/>
      <c r="AO72" s="49" t="n"/>
      <c r="AP72" s="49" t="n"/>
      <c r="AQ72" s="116" t="n"/>
      <c r="AR72" s="83" t="n"/>
      <c r="AS72" s="49" t="n"/>
      <c r="AT72" s="49" t="n"/>
      <c r="AU72" s="115" t="n"/>
      <c r="AV72" s="83" t="n"/>
      <c r="AW72" s="49" t="n"/>
      <c r="AX72" s="49" t="n"/>
      <c r="AY72" s="115" t="n"/>
      <c r="AZ72" s="83" t="n"/>
      <c r="BA72" s="49" t="n"/>
      <c r="BB72" s="49" t="n"/>
      <c r="BC72" s="115" t="n"/>
      <c r="BD72" s="110">
        <f>SUM(K72,O72,S72,W72,AA72,AE72,AI72,AM72,AQ72,AU72,AY72,BC72)</f>
        <v/>
      </c>
      <c r="BE72" s="45" t="n"/>
      <c r="BF72" s="113" t="n"/>
      <c r="BG72" s="45" t="n"/>
      <c r="BH72" s="113" t="n"/>
      <c r="BI72" s="45" t="n"/>
      <c r="BJ72" s="113" t="n"/>
      <c r="BK72" s="45" t="n"/>
      <c r="BL72" s="113" t="n"/>
      <c r="BM72" s="45" t="n"/>
      <c r="BN72" s="113" t="n"/>
      <c r="BO72" s="114">
        <f>SUM(BF72,BH72,BJ72,BL72,BN72)</f>
        <v/>
      </c>
      <c r="BP72" s="45" t="n"/>
      <c r="BQ72" s="45" t="n"/>
      <c r="BR72" s="113" t="n"/>
      <c r="BS72" s="45" t="n"/>
      <c r="BT72" s="113" t="n"/>
      <c r="BU72" s="45" t="n"/>
      <c r="BV72" s="113" t="n"/>
      <c r="BW72" s="114">
        <f>SUM(BR72,BT72,BV72)</f>
        <v/>
      </c>
      <c r="BX72" s="45" t="n"/>
      <c r="BY72" s="114">
        <f>BD72 - IF(BP72="Y", 0, BO72) - IF(BX72="Y", 0, BW72)</f>
        <v/>
      </c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</row>
    <row r="73" ht="13.5" customHeight="1">
      <c r="B73" s="47">
        <f>$B$3</f>
        <v/>
      </c>
      <c r="C73" s="48">
        <f>$C$3</f>
        <v/>
      </c>
      <c r="D73" s="40">
        <f>IF(SUM(COUNTIF(H73, "*"), COUNTIF(L73, "*"), COUNTIF(P73, "*"), COUNTIF(T73, "*"), COUNTIF(X73, "*"), COUNTIF(AB73, "*"), COUNTIF(AF73, "*"), COUNTIF(AJ73, "*"), COUNTIF(AN73, "*"), COUNTIF(AR73, "*"), COUNTIF(AV73, "*"), COUNTIF(AZ73, "*"))&gt;0, "Y", "N")</f>
        <v/>
      </c>
      <c r="E73" s="49" t="n"/>
      <c r="F73" s="49" t="n"/>
      <c r="G73" s="59" t="n">
        <v>47969</v>
      </c>
      <c r="H73" s="83" t="n"/>
      <c r="I73" s="49" t="n"/>
      <c r="J73" s="50" t="n"/>
      <c r="K73" s="115" t="n"/>
      <c r="L73" s="83" t="n"/>
      <c r="M73" s="49" t="n"/>
      <c r="N73" s="49" t="n"/>
      <c r="O73" s="115" t="n"/>
      <c r="P73" s="83" t="n"/>
      <c r="Q73" s="49" t="n"/>
      <c r="R73" s="49" t="n"/>
      <c r="S73" s="115" t="n"/>
      <c r="T73" s="83" t="n"/>
      <c r="U73" s="49" t="n"/>
      <c r="V73" s="49" t="n"/>
      <c r="W73" s="116" t="n"/>
      <c r="X73" s="83" t="n"/>
      <c r="Y73" s="49" t="n"/>
      <c r="Z73" s="49" t="n"/>
      <c r="AA73" s="115" t="n"/>
      <c r="AB73" s="83" t="n"/>
      <c r="AC73" s="49" t="n"/>
      <c r="AD73" s="50" t="n"/>
      <c r="AE73" s="115" t="n"/>
      <c r="AF73" s="83" t="n"/>
      <c r="AG73" s="49" t="n"/>
      <c r="AH73" s="49" t="n"/>
      <c r="AI73" s="115" t="n"/>
      <c r="AJ73" s="83" t="n"/>
      <c r="AK73" s="49" t="n"/>
      <c r="AL73" s="49" t="n"/>
      <c r="AM73" s="115" t="n"/>
      <c r="AN73" s="83" t="n"/>
      <c r="AO73" s="49" t="n"/>
      <c r="AP73" s="49" t="n"/>
      <c r="AQ73" s="116" t="n"/>
      <c r="AR73" s="83" t="n"/>
      <c r="AS73" s="49" t="n"/>
      <c r="AT73" s="49" t="n"/>
      <c r="AU73" s="115" t="n"/>
      <c r="AV73" s="83" t="n"/>
      <c r="AW73" s="49" t="n"/>
      <c r="AX73" s="49" t="n"/>
      <c r="AY73" s="115" t="n"/>
      <c r="AZ73" s="83" t="n"/>
      <c r="BA73" s="49" t="n"/>
      <c r="BB73" s="49" t="n"/>
      <c r="BC73" s="115" t="n"/>
      <c r="BD73" s="110">
        <f>SUM(K73,O73,S73,W73,AA73,AE73,AI73,AM73,AQ73,AU73,AY73,BC73)</f>
        <v/>
      </c>
      <c r="BE73" s="45" t="n"/>
      <c r="BF73" s="113" t="n"/>
      <c r="BG73" s="45" t="n"/>
      <c r="BH73" s="113" t="n"/>
      <c r="BI73" s="45" t="n"/>
      <c r="BJ73" s="113" t="n"/>
      <c r="BK73" s="45" t="n"/>
      <c r="BL73" s="113" t="n"/>
      <c r="BM73" s="45" t="n"/>
      <c r="BN73" s="113" t="n"/>
      <c r="BO73" s="114">
        <f>SUM(BF73,BH73,BJ73,BL73,BN73)</f>
        <v/>
      </c>
      <c r="BP73" s="45" t="n"/>
      <c r="BQ73" s="45" t="n"/>
      <c r="BR73" s="113" t="n"/>
      <c r="BS73" s="45" t="n"/>
      <c r="BT73" s="113" t="n"/>
      <c r="BU73" s="45" t="n"/>
      <c r="BV73" s="113" t="n"/>
      <c r="BW73" s="114">
        <f>SUM(BR73,BT73,BV73)</f>
        <v/>
      </c>
      <c r="BX73" s="45" t="n"/>
      <c r="BY73" s="114">
        <f>BD73 - IF(BP73="Y", 0, BO73) - IF(BX73="Y", 0, BW73)</f>
        <v/>
      </c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</row>
    <row r="74" ht="13.5" customHeight="1">
      <c r="B74" s="47">
        <f>$B$3</f>
        <v/>
      </c>
      <c r="C74" s="48">
        <f>$C$3</f>
        <v/>
      </c>
      <c r="D74" s="40">
        <f>IF(SUM(COUNTIF(H74, "*"), COUNTIF(L74, "*"), COUNTIF(P74, "*"), COUNTIF(T74, "*"), COUNTIF(X74, "*"), COUNTIF(AB74, "*"), COUNTIF(AF74, "*"), COUNTIF(AJ74, "*"), COUNTIF(AN74, "*"), COUNTIF(AR74, "*"), COUNTIF(AV74, "*"), COUNTIF(AZ74, "*"))&gt;0, "Y", "N")</f>
        <v/>
      </c>
      <c r="E74" s="49" t="n"/>
      <c r="F74" s="49" t="n"/>
      <c r="G74" s="59" t="n">
        <v>48000</v>
      </c>
      <c r="H74" s="83" t="n"/>
      <c r="I74" s="49" t="n"/>
      <c r="J74" s="50" t="n"/>
      <c r="K74" s="115" t="n"/>
      <c r="L74" s="83" t="n"/>
      <c r="M74" s="49" t="n"/>
      <c r="N74" s="49" t="n"/>
      <c r="O74" s="115" t="n"/>
      <c r="P74" s="83" t="n"/>
      <c r="Q74" s="49" t="n"/>
      <c r="R74" s="49" t="n"/>
      <c r="S74" s="115" t="n"/>
      <c r="T74" s="83" t="n"/>
      <c r="U74" s="49" t="n"/>
      <c r="V74" s="49" t="n"/>
      <c r="W74" s="116" t="n"/>
      <c r="X74" s="83" t="n"/>
      <c r="Y74" s="49" t="n"/>
      <c r="Z74" s="49" t="n"/>
      <c r="AA74" s="115" t="n"/>
      <c r="AB74" s="83" t="n"/>
      <c r="AC74" s="49" t="n"/>
      <c r="AD74" s="50" t="n"/>
      <c r="AE74" s="115" t="n"/>
      <c r="AF74" s="83" t="n"/>
      <c r="AG74" s="49" t="n"/>
      <c r="AH74" s="49" t="n"/>
      <c r="AI74" s="115" t="n"/>
      <c r="AJ74" s="83" t="n"/>
      <c r="AK74" s="49" t="n"/>
      <c r="AL74" s="49" t="n"/>
      <c r="AM74" s="115" t="n"/>
      <c r="AN74" s="83" t="n"/>
      <c r="AO74" s="49" t="n"/>
      <c r="AP74" s="49" t="n"/>
      <c r="AQ74" s="116" t="n"/>
      <c r="AR74" s="83" t="n"/>
      <c r="AS74" s="49" t="n"/>
      <c r="AT74" s="49" t="n"/>
      <c r="AU74" s="115" t="n"/>
      <c r="AV74" s="83" t="n"/>
      <c r="AW74" s="49" t="n"/>
      <c r="AX74" s="49" t="n"/>
      <c r="AY74" s="115" t="n"/>
      <c r="AZ74" s="83" t="n"/>
      <c r="BA74" s="49" t="n"/>
      <c r="BB74" s="49" t="n"/>
      <c r="BC74" s="115" t="n"/>
      <c r="BD74" s="110">
        <f>SUM(K74,O74,S74,W74,AA74,AE74,AI74,AM74,AQ74,AU74,AY74,BC74)</f>
        <v/>
      </c>
      <c r="BE74" s="45" t="n"/>
      <c r="BF74" s="113" t="n"/>
      <c r="BG74" s="45" t="n"/>
      <c r="BH74" s="113" t="n"/>
      <c r="BI74" s="45" t="n"/>
      <c r="BJ74" s="113" t="n"/>
      <c r="BK74" s="45" t="n"/>
      <c r="BL74" s="113" t="n"/>
      <c r="BM74" s="45" t="n"/>
      <c r="BN74" s="113" t="n"/>
      <c r="BO74" s="114">
        <f>SUM(BF74,BH74,BJ74,BL74,BN74)</f>
        <v/>
      </c>
      <c r="BP74" s="45" t="n"/>
      <c r="BQ74" s="45" t="n"/>
      <c r="BR74" s="113" t="n"/>
      <c r="BS74" s="45" t="n"/>
      <c r="BT74" s="113" t="n"/>
      <c r="BU74" s="45" t="n"/>
      <c r="BV74" s="113" t="n"/>
      <c r="BW74" s="114">
        <f>SUM(BR74,BT74,BV74)</f>
        <v/>
      </c>
      <c r="BX74" s="45" t="n"/>
      <c r="BY74" s="114">
        <f>BD74 - IF(BP74="Y", 0, BO74) - IF(BX74="Y", 0, BW74)</f>
        <v/>
      </c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</row>
    <row r="75" ht="13.5" customHeight="1">
      <c r="B75" s="47">
        <f>$B$3</f>
        <v/>
      </c>
      <c r="C75" s="48">
        <f>$C$3</f>
        <v/>
      </c>
      <c r="D75" s="40">
        <f>IF(SUM(COUNTIF(H75, "*"), COUNTIF(L75, "*"), COUNTIF(P75, "*"), COUNTIF(T75, "*"), COUNTIF(X75, "*"), COUNTIF(AB75, "*"), COUNTIF(AF75, "*"), COUNTIF(AJ75, "*"), COUNTIF(AN75, "*"), COUNTIF(AR75, "*"), COUNTIF(AV75, "*"), COUNTIF(AZ75, "*"))&gt;0, "Y", "N")</f>
        <v/>
      </c>
      <c r="E75" s="49" t="n"/>
      <c r="F75" s="49" t="n"/>
      <c r="G75" s="59" t="n">
        <v>48030</v>
      </c>
      <c r="H75" s="83" t="n"/>
      <c r="I75" s="49" t="n"/>
      <c r="J75" s="50" t="n"/>
      <c r="K75" s="115" t="n"/>
      <c r="L75" s="83" t="n"/>
      <c r="M75" s="49" t="n"/>
      <c r="N75" s="49" t="n"/>
      <c r="O75" s="115" t="n"/>
      <c r="P75" s="83" t="n"/>
      <c r="Q75" s="49" t="n"/>
      <c r="R75" s="49" t="n"/>
      <c r="S75" s="115" t="n"/>
      <c r="T75" s="83" t="n"/>
      <c r="U75" s="49" t="n"/>
      <c r="V75" s="49" t="n"/>
      <c r="W75" s="116" t="n"/>
      <c r="X75" s="83" t="n"/>
      <c r="Y75" s="49" t="n"/>
      <c r="Z75" s="49" t="n"/>
      <c r="AA75" s="115" t="n"/>
      <c r="AB75" s="83" t="n"/>
      <c r="AC75" s="49" t="n"/>
      <c r="AD75" s="50" t="n"/>
      <c r="AE75" s="115" t="n"/>
      <c r="AF75" s="83" t="n"/>
      <c r="AG75" s="49" t="n"/>
      <c r="AH75" s="49" t="n"/>
      <c r="AI75" s="115" t="n"/>
      <c r="AJ75" s="83" t="n"/>
      <c r="AK75" s="49" t="n"/>
      <c r="AL75" s="49" t="n"/>
      <c r="AM75" s="115" t="n"/>
      <c r="AN75" s="83" t="n"/>
      <c r="AO75" s="49" t="n"/>
      <c r="AP75" s="49" t="n"/>
      <c r="AQ75" s="116" t="n"/>
      <c r="AR75" s="83" t="n"/>
      <c r="AS75" s="49" t="n"/>
      <c r="AT75" s="49" t="n"/>
      <c r="AU75" s="115" t="n"/>
      <c r="AV75" s="83" t="n"/>
      <c r="AW75" s="49" t="n"/>
      <c r="AX75" s="49" t="n"/>
      <c r="AY75" s="115" t="n"/>
      <c r="AZ75" s="83" t="n"/>
      <c r="BA75" s="49" t="n"/>
      <c r="BB75" s="49" t="n"/>
      <c r="BC75" s="115" t="n"/>
      <c r="BD75" s="110">
        <f>SUM(K75,O75,S75,W75,AA75,AE75,AI75,AM75,AQ75,AU75,AY75,BC75)</f>
        <v/>
      </c>
      <c r="BE75" s="45" t="n"/>
      <c r="BF75" s="113" t="n"/>
      <c r="BG75" s="45" t="n"/>
      <c r="BH75" s="113" t="n"/>
      <c r="BI75" s="45" t="n"/>
      <c r="BJ75" s="113" t="n"/>
      <c r="BK75" s="45" t="n"/>
      <c r="BL75" s="113" t="n"/>
      <c r="BM75" s="45" t="n"/>
      <c r="BN75" s="113" t="n"/>
      <c r="BO75" s="114">
        <f>SUM(BF75,BH75,BJ75,BL75,BN75)</f>
        <v/>
      </c>
      <c r="BP75" s="45" t="n"/>
      <c r="BQ75" s="45" t="n"/>
      <c r="BR75" s="113" t="n"/>
      <c r="BS75" s="45" t="n"/>
      <c r="BT75" s="113" t="n"/>
      <c r="BU75" s="45" t="n"/>
      <c r="BV75" s="113" t="n"/>
      <c r="BW75" s="114">
        <f>SUM(BR75,BT75,BV75)</f>
        <v/>
      </c>
      <c r="BX75" s="45" t="n"/>
      <c r="BY75" s="114">
        <f>BD75 - IF(BP75="Y", 0, BO75) - IF(BX75="Y", 0, BW75)</f>
        <v/>
      </c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</row>
    <row r="76" ht="13.5" customHeight="1">
      <c r="B76" s="47">
        <f>$B$3</f>
        <v/>
      </c>
      <c r="C76" s="48">
        <f>$C$3</f>
        <v/>
      </c>
      <c r="D76" s="40">
        <f>IF(SUM(COUNTIF(H76, "*"), COUNTIF(L76, "*"), COUNTIF(P76, "*"), COUNTIF(T76, "*"), COUNTIF(X76, "*"), COUNTIF(AB76, "*"), COUNTIF(AF76, "*"), COUNTIF(AJ76, "*"), COUNTIF(AN76, "*"), COUNTIF(AR76, "*"), COUNTIF(AV76, "*"), COUNTIF(AZ76, "*"))&gt;0, "Y", "N")</f>
        <v/>
      </c>
      <c r="E76" s="49" t="n"/>
      <c r="F76" s="49" t="n"/>
      <c r="G76" s="59" t="n">
        <v>48061</v>
      </c>
      <c r="H76" s="83" t="n"/>
      <c r="I76" s="49" t="n"/>
      <c r="J76" s="50" t="n"/>
      <c r="K76" s="115" t="n"/>
      <c r="L76" s="83" t="n"/>
      <c r="M76" s="49" t="n"/>
      <c r="N76" s="49" t="n"/>
      <c r="O76" s="115" t="n"/>
      <c r="P76" s="83" t="n"/>
      <c r="Q76" s="49" t="n"/>
      <c r="R76" s="49" t="n"/>
      <c r="S76" s="115" t="n"/>
      <c r="T76" s="83" t="n"/>
      <c r="U76" s="49" t="n"/>
      <c r="V76" s="49" t="n"/>
      <c r="W76" s="116" t="n"/>
      <c r="X76" s="83" t="n"/>
      <c r="Y76" s="49" t="n"/>
      <c r="Z76" s="49" t="n"/>
      <c r="AA76" s="115" t="n"/>
      <c r="AB76" s="83" t="n"/>
      <c r="AC76" s="49" t="n"/>
      <c r="AD76" s="50" t="n"/>
      <c r="AE76" s="115" t="n"/>
      <c r="AF76" s="83" t="n"/>
      <c r="AG76" s="49" t="n"/>
      <c r="AH76" s="49" t="n"/>
      <c r="AI76" s="115" t="n"/>
      <c r="AJ76" s="83" t="n"/>
      <c r="AK76" s="49" t="n"/>
      <c r="AL76" s="49" t="n"/>
      <c r="AM76" s="115" t="n"/>
      <c r="AN76" s="83" t="n"/>
      <c r="AO76" s="49" t="n"/>
      <c r="AP76" s="49" t="n"/>
      <c r="AQ76" s="116" t="n"/>
      <c r="AR76" s="83" t="n"/>
      <c r="AS76" s="49" t="n"/>
      <c r="AT76" s="49" t="n"/>
      <c r="AU76" s="115" t="n"/>
      <c r="AV76" s="83" t="n"/>
      <c r="AW76" s="49" t="n"/>
      <c r="AX76" s="49" t="n"/>
      <c r="AY76" s="115" t="n"/>
      <c r="AZ76" s="83" t="n"/>
      <c r="BA76" s="49" t="n"/>
      <c r="BB76" s="49" t="n"/>
      <c r="BC76" s="115" t="n"/>
      <c r="BD76" s="110">
        <f>SUM(K76,O76,S76,W76,AA76,AE76,AI76,AM76,AQ76,AU76,AY76,BC76)</f>
        <v/>
      </c>
      <c r="BE76" s="45" t="n"/>
      <c r="BF76" s="113" t="n"/>
      <c r="BG76" s="45" t="n"/>
      <c r="BH76" s="113" t="n"/>
      <c r="BI76" s="45" t="n"/>
      <c r="BJ76" s="113" t="n"/>
      <c r="BK76" s="45" t="n"/>
      <c r="BL76" s="113" t="n"/>
      <c r="BM76" s="45" t="n"/>
      <c r="BN76" s="113" t="n"/>
      <c r="BO76" s="114">
        <f>SUM(BF76,BH76,BJ76,BL76,BN76)</f>
        <v/>
      </c>
      <c r="BP76" s="45" t="n"/>
      <c r="BQ76" s="45" t="n"/>
      <c r="BR76" s="113" t="n"/>
      <c r="BS76" s="45" t="n"/>
      <c r="BT76" s="113" t="n"/>
      <c r="BU76" s="45" t="n"/>
      <c r="BV76" s="113" t="n"/>
      <c r="BW76" s="114">
        <f>SUM(BR76,BT76,BV76)</f>
        <v/>
      </c>
      <c r="BX76" s="45" t="n"/>
      <c r="BY76" s="114">
        <f>BD76 - IF(BP76="Y", 0, BO76) - IF(BX76="Y", 0, BW76)</f>
        <v/>
      </c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</row>
    <row r="77" ht="13.5" customHeight="1">
      <c r="B77" s="47">
        <f>$B$3</f>
        <v/>
      </c>
      <c r="C77" s="48">
        <f>$C$3</f>
        <v/>
      </c>
      <c r="D77" s="40">
        <f>IF(SUM(COUNTIF(H77, "*"), COUNTIF(L77, "*"), COUNTIF(P77, "*"), COUNTIF(T77, "*"), COUNTIF(X77, "*"), COUNTIF(AB77, "*"), COUNTIF(AF77, "*"), COUNTIF(AJ77, "*"), COUNTIF(AN77, "*"), COUNTIF(AR77, "*"), COUNTIF(AV77, "*"), COUNTIF(AZ77, "*"))&gt;0, "Y", "N")</f>
        <v/>
      </c>
      <c r="E77" s="49" t="n"/>
      <c r="F77" s="49" t="n"/>
      <c r="G77" s="59" t="n">
        <v>48092</v>
      </c>
      <c r="H77" s="83" t="n"/>
      <c r="I77" s="49" t="n"/>
      <c r="J77" s="50" t="n"/>
      <c r="K77" s="115" t="n"/>
      <c r="L77" s="83" t="n"/>
      <c r="M77" s="49" t="n"/>
      <c r="N77" s="49" t="n"/>
      <c r="O77" s="115" t="n"/>
      <c r="P77" s="83" t="n"/>
      <c r="Q77" s="49" t="n"/>
      <c r="R77" s="49" t="n"/>
      <c r="S77" s="115" t="n"/>
      <c r="T77" s="83" t="n"/>
      <c r="U77" s="49" t="n"/>
      <c r="V77" s="49" t="n"/>
      <c r="W77" s="116" t="n"/>
      <c r="X77" s="83" t="n"/>
      <c r="Y77" s="49" t="n"/>
      <c r="Z77" s="49" t="n"/>
      <c r="AA77" s="115" t="n"/>
      <c r="AB77" s="83" t="n"/>
      <c r="AC77" s="49" t="n"/>
      <c r="AD77" s="50" t="n"/>
      <c r="AE77" s="115" t="n"/>
      <c r="AF77" s="83" t="n"/>
      <c r="AG77" s="49" t="n"/>
      <c r="AH77" s="49" t="n"/>
      <c r="AI77" s="115" t="n"/>
      <c r="AJ77" s="83" t="n"/>
      <c r="AK77" s="49" t="n"/>
      <c r="AL77" s="49" t="n"/>
      <c r="AM77" s="115" t="n"/>
      <c r="AN77" s="83" t="n"/>
      <c r="AO77" s="49" t="n"/>
      <c r="AP77" s="49" t="n"/>
      <c r="AQ77" s="116" t="n"/>
      <c r="AR77" s="83" t="n"/>
      <c r="AS77" s="49" t="n"/>
      <c r="AT77" s="49" t="n"/>
      <c r="AU77" s="115" t="n"/>
      <c r="AV77" s="83" t="n"/>
      <c r="AW77" s="49" t="n"/>
      <c r="AX77" s="49" t="n"/>
      <c r="AY77" s="115" t="n"/>
      <c r="AZ77" s="83" t="n"/>
      <c r="BA77" s="49" t="n"/>
      <c r="BB77" s="49" t="n"/>
      <c r="BC77" s="115" t="n"/>
      <c r="BD77" s="110">
        <f>SUM(K77,O77,S77,W77,AA77,AE77,AI77,AM77,AQ77,AU77,AY77,BC77)</f>
        <v/>
      </c>
      <c r="BE77" s="45" t="n"/>
      <c r="BF77" s="113" t="n"/>
      <c r="BG77" s="45" t="n"/>
      <c r="BH77" s="113" t="n"/>
      <c r="BI77" s="45" t="n"/>
      <c r="BJ77" s="113" t="n"/>
      <c r="BK77" s="45" t="n"/>
      <c r="BL77" s="113" t="n"/>
      <c r="BM77" s="45" t="n"/>
      <c r="BN77" s="113" t="n"/>
      <c r="BO77" s="114">
        <f>SUM(BF77,BH77,BJ77,BL77,BN77)</f>
        <v/>
      </c>
      <c r="BP77" s="45" t="n"/>
      <c r="BQ77" s="45" t="n"/>
      <c r="BR77" s="113" t="n"/>
      <c r="BS77" s="45" t="n"/>
      <c r="BT77" s="113" t="n"/>
      <c r="BU77" s="45" t="n"/>
      <c r="BV77" s="113" t="n"/>
      <c r="BW77" s="114">
        <f>SUM(BR77,BT77,BV77)</f>
        <v/>
      </c>
      <c r="BX77" s="45" t="n"/>
      <c r="BY77" s="114">
        <f>BD77 - IF(BP77="Y", 0, BO77) - IF(BX77="Y", 0, BW77)</f>
        <v/>
      </c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</row>
    <row r="78" ht="13.5" customHeight="1">
      <c r="B78" s="47">
        <f>$B$3</f>
        <v/>
      </c>
      <c r="C78" s="48">
        <f>$C$3</f>
        <v/>
      </c>
      <c r="D78" s="40">
        <f>IF(SUM(COUNTIF(H78, "*"), COUNTIF(L78, "*"), COUNTIF(P78, "*"), COUNTIF(T78, "*"), COUNTIF(X78, "*"), COUNTIF(AB78, "*"), COUNTIF(AF78, "*"), COUNTIF(AJ78, "*"), COUNTIF(AN78, "*"), COUNTIF(AR78, "*"), COUNTIF(AV78, "*"), COUNTIF(AZ78, "*"))&gt;0, "Y", "N")</f>
        <v/>
      </c>
      <c r="E78" s="49" t="n"/>
      <c r="F78" s="49" t="n"/>
      <c r="G78" s="59" t="n">
        <v>48122</v>
      </c>
      <c r="H78" s="83" t="n"/>
      <c r="I78" s="49" t="n"/>
      <c r="J78" s="50" t="n"/>
      <c r="K78" s="115" t="n"/>
      <c r="L78" s="83" t="n"/>
      <c r="M78" s="49" t="n"/>
      <c r="N78" s="49" t="n"/>
      <c r="O78" s="115" t="n"/>
      <c r="P78" s="83" t="n"/>
      <c r="Q78" s="49" t="n"/>
      <c r="R78" s="49" t="n"/>
      <c r="S78" s="115" t="n"/>
      <c r="T78" s="83" t="n"/>
      <c r="U78" s="49" t="n"/>
      <c r="V78" s="49" t="n"/>
      <c r="W78" s="116" t="n"/>
      <c r="X78" s="83" t="n"/>
      <c r="Y78" s="49" t="n"/>
      <c r="Z78" s="49" t="n"/>
      <c r="AA78" s="115" t="n"/>
      <c r="AB78" s="83" t="n"/>
      <c r="AC78" s="49" t="n"/>
      <c r="AD78" s="50" t="n"/>
      <c r="AE78" s="115" t="n"/>
      <c r="AF78" s="83" t="n"/>
      <c r="AG78" s="49" t="n"/>
      <c r="AH78" s="49" t="n"/>
      <c r="AI78" s="115" t="n"/>
      <c r="AJ78" s="83" t="n"/>
      <c r="AK78" s="49" t="n"/>
      <c r="AL78" s="49" t="n"/>
      <c r="AM78" s="115" t="n"/>
      <c r="AN78" s="83" t="n"/>
      <c r="AO78" s="49" t="n"/>
      <c r="AP78" s="49" t="n"/>
      <c r="AQ78" s="116" t="n"/>
      <c r="AR78" s="83" t="n"/>
      <c r="AS78" s="49" t="n"/>
      <c r="AT78" s="49" t="n"/>
      <c r="AU78" s="115" t="n"/>
      <c r="AV78" s="83" t="n"/>
      <c r="AW78" s="49" t="n"/>
      <c r="AX78" s="49" t="n"/>
      <c r="AY78" s="115" t="n"/>
      <c r="AZ78" s="83" t="n"/>
      <c r="BA78" s="49" t="n"/>
      <c r="BB78" s="49" t="n"/>
      <c r="BC78" s="115" t="n"/>
      <c r="BD78" s="110">
        <f>SUM(K78,O78,S78,W78,AA78,AE78,AI78,AM78,AQ78,AU78,AY78,BC78)</f>
        <v/>
      </c>
      <c r="BE78" s="45" t="n"/>
      <c r="BF78" s="113" t="n"/>
      <c r="BG78" s="45" t="n"/>
      <c r="BH78" s="113" t="n"/>
      <c r="BI78" s="45" t="n"/>
      <c r="BJ78" s="113" t="n"/>
      <c r="BK78" s="45" t="n"/>
      <c r="BL78" s="113" t="n"/>
      <c r="BM78" s="45" t="n"/>
      <c r="BN78" s="113" t="n"/>
      <c r="BO78" s="114">
        <f>SUM(BF78,BH78,BJ78,BL78,BN78)</f>
        <v/>
      </c>
      <c r="BP78" s="45" t="n"/>
      <c r="BQ78" s="45" t="n"/>
      <c r="BR78" s="113" t="n"/>
      <c r="BS78" s="45" t="n"/>
      <c r="BT78" s="113" t="n"/>
      <c r="BU78" s="45" t="n"/>
      <c r="BV78" s="113" t="n"/>
      <c r="BW78" s="114">
        <f>SUM(BR78,BT78,BV78)</f>
        <v/>
      </c>
      <c r="BX78" s="45" t="n"/>
      <c r="BY78" s="114">
        <f>BD78 - IF(BP78="Y", 0, BO78) - IF(BX78="Y", 0, BW78)</f>
        <v/>
      </c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</row>
    <row r="79" ht="13.5" customHeight="1">
      <c r="B79" s="47">
        <f>$B$3</f>
        <v/>
      </c>
      <c r="C79" s="48">
        <f>$C$3</f>
        <v/>
      </c>
      <c r="D79" s="40">
        <f>IF(SUM(COUNTIF(H79, "*"), COUNTIF(L79, "*"), COUNTIF(P79, "*"), COUNTIF(T79, "*"), COUNTIF(X79, "*"), COUNTIF(AB79, "*"), COUNTIF(AF79, "*"), COUNTIF(AJ79, "*"), COUNTIF(AN79, "*"), COUNTIF(AR79, "*"), COUNTIF(AV79, "*"), COUNTIF(AZ79, "*"))&gt;0, "Y", "N")</f>
        <v/>
      </c>
      <c r="E79" s="49" t="n"/>
      <c r="F79" s="49" t="n"/>
      <c r="G79" s="59" t="n">
        <v>48153</v>
      </c>
      <c r="H79" s="83" t="n"/>
      <c r="I79" s="49" t="n"/>
      <c r="J79" s="50" t="n"/>
      <c r="K79" s="115" t="n"/>
      <c r="L79" s="83" t="n"/>
      <c r="M79" s="49" t="n"/>
      <c r="N79" s="49" t="n"/>
      <c r="O79" s="115" t="n"/>
      <c r="P79" s="83" t="n"/>
      <c r="Q79" s="49" t="n"/>
      <c r="R79" s="49" t="n"/>
      <c r="S79" s="115" t="n"/>
      <c r="T79" s="83" t="n"/>
      <c r="U79" s="49" t="n"/>
      <c r="V79" s="49" t="n"/>
      <c r="W79" s="116" t="n"/>
      <c r="X79" s="83" t="n"/>
      <c r="Y79" s="49" t="n"/>
      <c r="Z79" s="49" t="n"/>
      <c r="AA79" s="115" t="n"/>
      <c r="AB79" s="83" t="n"/>
      <c r="AC79" s="49" t="n"/>
      <c r="AD79" s="50" t="n"/>
      <c r="AE79" s="115" t="n"/>
      <c r="AF79" s="83" t="n"/>
      <c r="AG79" s="49" t="n"/>
      <c r="AH79" s="49" t="n"/>
      <c r="AI79" s="115" t="n"/>
      <c r="AJ79" s="83" t="n"/>
      <c r="AK79" s="49" t="n"/>
      <c r="AL79" s="49" t="n"/>
      <c r="AM79" s="115" t="n"/>
      <c r="AN79" s="83" t="n"/>
      <c r="AO79" s="49" t="n"/>
      <c r="AP79" s="49" t="n"/>
      <c r="AQ79" s="116" t="n"/>
      <c r="AR79" s="83" t="n"/>
      <c r="AS79" s="49" t="n"/>
      <c r="AT79" s="49" t="n"/>
      <c r="AU79" s="115" t="n"/>
      <c r="AV79" s="83" t="n"/>
      <c r="AW79" s="49" t="n"/>
      <c r="AX79" s="49" t="n"/>
      <c r="AY79" s="115" t="n"/>
      <c r="AZ79" s="83" t="n"/>
      <c r="BA79" s="49" t="n"/>
      <c r="BB79" s="49" t="n"/>
      <c r="BC79" s="115" t="n"/>
      <c r="BD79" s="110">
        <f>SUM(K79,O79,S79,W79,AA79,AE79,AI79,AM79,AQ79,AU79,AY79,BC79)</f>
        <v/>
      </c>
      <c r="BE79" s="45" t="n"/>
      <c r="BF79" s="113" t="n"/>
      <c r="BG79" s="45" t="n"/>
      <c r="BH79" s="113" t="n"/>
      <c r="BI79" s="45" t="n"/>
      <c r="BJ79" s="113" t="n"/>
      <c r="BK79" s="45" t="n"/>
      <c r="BL79" s="113" t="n"/>
      <c r="BM79" s="45" t="n"/>
      <c r="BN79" s="113" t="n"/>
      <c r="BO79" s="114">
        <f>SUM(BF79,BH79,BJ79,BL79,BN79)</f>
        <v/>
      </c>
      <c r="BP79" s="45" t="n"/>
      <c r="BQ79" s="45" t="n"/>
      <c r="BR79" s="113" t="n"/>
      <c r="BS79" s="45" t="n"/>
      <c r="BT79" s="113" t="n"/>
      <c r="BU79" s="45" t="n"/>
      <c r="BV79" s="113" t="n"/>
      <c r="BW79" s="114">
        <f>SUM(BR79,BT79,BV79)</f>
        <v/>
      </c>
      <c r="BX79" s="45" t="n"/>
      <c r="BY79" s="114">
        <f>BD79 - IF(BP79="Y", 0, BO79) - IF(BX79="Y", 0, BW79)</f>
        <v/>
      </c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</row>
    <row r="80" ht="13.5" customHeight="1">
      <c r="B80" s="47">
        <f>$B$3</f>
        <v/>
      </c>
      <c r="C80" s="48">
        <f>$C$3</f>
        <v/>
      </c>
      <c r="D80" s="40">
        <f>IF(SUM(COUNTIF(H80, "*"), COUNTIF(L80, "*"), COUNTIF(P80, "*"), COUNTIF(T80, "*"), COUNTIF(X80, "*"), COUNTIF(AB80, "*"), COUNTIF(AF80, "*"), COUNTIF(AJ80, "*"), COUNTIF(AN80, "*"), COUNTIF(AR80, "*"), COUNTIF(AV80, "*"), COUNTIF(AZ80, "*"))&gt;0, "Y", "N")</f>
        <v/>
      </c>
      <c r="E80" s="49" t="n"/>
      <c r="F80" s="49" t="n"/>
      <c r="G80" s="59" t="n">
        <v>48183</v>
      </c>
      <c r="H80" s="83" t="n"/>
      <c r="I80" s="49" t="n"/>
      <c r="J80" s="50" t="n"/>
      <c r="K80" s="115" t="n"/>
      <c r="L80" s="83" t="n"/>
      <c r="M80" s="49" t="n"/>
      <c r="N80" s="49" t="n"/>
      <c r="O80" s="115" t="n"/>
      <c r="P80" s="83" t="n"/>
      <c r="Q80" s="49" t="n"/>
      <c r="R80" s="49" t="n"/>
      <c r="S80" s="115" t="n"/>
      <c r="T80" s="83" t="n"/>
      <c r="U80" s="49" t="n"/>
      <c r="V80" s="49" t="n"/>
      <c r="W80" s="116" t="n"/>
      <c r="X80" s="83" t="n"/>
      <c r="Y80" s="49" t="n"/>
      <c r="Z80" s="49" t="n"/>
      <c r="AA80" s="115" t="n"/>
      <c r="AB80" s="83" t="n"/>
      <c r="AC80" s="49" t="n"/>
      <c r="AD80" s="50" t="n"/>
      <c r="AE80" s="115" t="n"/>
      <c r="AF80" s="83" t="n"/>
      <c r="AG80" s="49" t="n"/>
      <c r="AH80" s="49" t="n"/>
      <c r="AI80" s="115" t="n"/>
      <c r="AJ80" s="83" t="n"/>
      <c r="AK80" s="49" t="n"/>
      <c r="AL80" s="49" t="n"/>
      <c r="AM80" s="115" t="n"/>
      <c r="AN80" s="83" t="n"/>
      <c r="AO80" s="49" t="n"/>
      <c r="AP80" s="49" t="n"/>
      <c r="AQ80" s="116" t="n"/>
      <c r="AR80" s="83" t="n"/>
      <c r="AS80" s="49" t="n"/>
      <c r="AT80" s="49" t="n"/>
      <c r="AU80" s="115" t="n"/>
      <c r="AV80" s="83" t="n"/>
      <c r="AW80" s="49" t="n"/>
      <c r="AX80" s="49" t="n"/>
      <c r="AY80" s="115" t="n"/>
      <c r="AZ80" s="83" t="n"/>
      <c r="BA80" s="49" t="n"/>
      <c r="BB80" s="49" t="n"/>
      <c r="BC80" s="115" t="n"/>
      <c r="BD80" s="110">
        <f>SUM(K80,O80,S80,W80,AA80,AE80,AI80,AM80,AQ80,AU80,AY80,BC80)</f>
        <v/>
      </c>
      <c r="BE80" s="45" t="n"/>
      <c r="BF80" s="113" t="n"/>
      <c r="BG80" s="45" t="n"/>
      <c r="BH80" s="113" t="n"/>
      <c r="BI80" s="45" t="n"/>
      <c r="BJ80" s="113" t="n"/>
      <c r="BK80" s="45" t="n"/>
      <c r="BL80" s="113" t="n"/>
      <c r="BM80" s="45" t="n"/>
      <c r="BN80" s="113" t="n"/>
      <c r="BO80" s="114">
        <f>SUM(BF80,BH80,BJ80,BL80,BN80)</f>
        <v/>
      </c>
      <c r="BP80" s="45" t="n"/>
      <c r="BQ80" s="45" t="n"/>
      <c r="BR80" s="113" t="n"/>
      <c r="BS80" s="45" t="n"/>
      <c r="BT80" s="113" t="n"/>
      <c r="BU80" s="45" t="n"/>
      <c r="BV80" s="113" t="n"/>
      <c r="BW80" s="114">
        <f>SUM(BR80,BT80,BV80)</f>
        <v/>
      </c>
      <c r="BX80" s="45" t="n"/>
      <c r="BY80" s="114">
        <f>BD80 - IF(BP80="Y", 0, BO80) - IF(BX80="Y", 0, BW80)</f>
        <v/>
      </c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</row>
    <row r="81" ht="13.5" customHeight="1">
      <c r="B81" s="47">
        <f>$B$3</f>
        <v/>
      </c>
      <c r="C81" s="48">
        <f>$C$3</f>
        <v/>
      </c>
      <c r="D81" s="40">
        <f>IF(SUM(COUNTIF(H81, "*"), COUNTIF(L81, "*"), COUNTIF(P81, "*"), COUNTIF(T81, "*"), COUNTIF(X81, "*"), COUNTIF(AB81, "*"), COUNTIF(AF81, "*"), COUNTIF(AJ81, "*"), COUNTIF(AN81, "*"), COUNTIF(AR81, "*"), COUNTIF(AV81, "*"), COUNTIF(AZ81, "*"))&gt;0, "Y", "N")</f>
        <v/>
      </c>
      <c r="E81" s="49" t="n"/>
      <c r="F81" s="49" t="n"/>
      <c r="G81" s="59" t="n">
        <v>48214</v>
      </c>
      <c r="H81" s="83" t="n"/>
      <c r="I81" s="49" t="n"/>
      <c r="J81" s="50" t="n"/>
      <c r="K81" s="115" t="n"/>
      <c r="L81" s="83" t="n"/>
      <c r="M81" s="49" t="n"/>
      <c r="N81" s="49" t="n"/>
      <c r="O81" s="115" t="n"/>
      <c r="P81" s="83" t="n"/>
      <c r="Q81" s="49" t="n"/>
      <c r="R81" s="49" t="n"/>
      <c r="S81" s="115" t="n"/>
      <c r="T81" s="83" t="n"/>
      <c r="U81" s="49" t="n"/>
      <c r="V81" s="49" t="n"/>
      <c r="W81" s="116" t="n"/>
      <c r="X81" s="83" t="n"/>
      <c r="Y81" s="49" t="n"/>
      <c r="Z81" s="49" t="n"/>
      <c r="AA81" s="115" t="n"/>
      <c r="AB81" s="83" t="n"/>
      <c r="AC81" s="49" t="n"/>
      <c r="AD81" s="50" t="n"/>
      <c r="AE81" s="115" t="n"/>
      <c r="AF81" s="83" t="n"/>
      <c r="AG81" s="49" t="n"/>
      <c r="AH81" s="49" t="n"/>
      <c r="AI81" s="115" t="n"/>
      <c r="AJ81" s="83" t="n"/>
      <c r="AK81" s="49" t="n"/>
      <c r="AL81" s="49" t="n"/>
      <c r="AM81" s="115" t="n"/>
      <c r="AN81" s="83" t="n"/>
      <c r="AO81" s="49" t="n"/>
      <c r="AP81" s="49" t="n"/>
      <c r="AQ81" s="116" t="n"/>
      <c r="AR81" s="83" t="n"/>
      <c r="AS81" s="49" t="n"/>
      <c r="AT81" s="49" t="n"/>
      <c r="AU81" s="115" t="n"/>
      <c r="AV81" s="83" t="n"/>
      <c r="AW81" s="49" t="n"/>
      <c r="AX81" s="49" t="n"/>
      <c r="AY81" s="115" t="n"/>
      <c r="AZ81" s="83" t="n"/>
      <c r="BA81" s="49" t="n"/>
      <c r="BB81" s="49" t="n"/>
      <c r="BC81" s="115" t="n"/>
      <c r="BD81" s="110">
        <f>SUM(K81,O81,S81,W81,AA81,AE81,AI81,AM81,AQ81,AU81,AY81,BC81)</f>
        <v/>
      </c>
      <c r="BE81" s="45" t="n"/>
      <c r="BF81" s="113" t="n"/>
      <c r="BG81" s="45" t="n"/>
      <c r="BH81" s="113" t="n"/>
      <c r="BI81" s="45" t="n"/>
      <c r="BJ81" s="113" t="n"/>
      <c r="BK81" s="45" t="n"/>
      <c r="BL81" s="113" t="n"/>
      <c r="BM81" s="45" t="n"/>
      <c r="BN81" s="113" t="n"/>
      <c r="BO81" s="114">
        <f>SUM(BF81,BH81,BJ81,BL81,BN81)</f>
        <v/>
      </c>
      <c r="BP81" s="45" t="n"/>
      <c r="BQ81" s="45" t="n"/>
      <c r="BR81" s="113" t="n"/>
      <c r="BS81" s="45" t="n"/>
      <c r="BT81" s="113" t="n"/>
      <c r="BU81" s="45" t="n"/>
      <c r="BV81" s="113" t="n"/>
      <c r="BW81" s="114">
        <f>SUM(BR81,BT81,BV81)</f>
        <v/>
      </c>
      <c r="BX81" s="45" t="n"/>
      <c r="BY81" s="114">
        <f>BD81 - IF(BP81="Y", 0, BO81) - IF(BX81="Y", 0, BW81)</f>
        <v/>
      </c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</row>
    <row r="82" ht="13.5" customHeight="1">
      <c r="B82" s="47">
        <f>$B$3</f>
        <v/>
      </c>
      <c r="C82" s="48">
        <f>$C$3</f>
        <v/>
      </c>
      <c r="D82" s="40">
        <f>IF(SUM(COUNTIF(H82, "*"), COUNTIF(L82, "*"), COUNTIF(P82, "*"), COUNTIF(T82, "*"), COUNTIF(X82, "*"), COUNTIF(AB82, "*"), COUNTIF(AF82, "*"), COUNTIF(AJ82, "*"), COUNTIF(AN82, "*"), COUNTIF(AR82, "*"), COUNTIF(AV82, "*"), COUNTIF(AZ82, "*"))&gt;0, "Y", "N")</f>
        <v/>
      </c>
      <c r="E82" s="49" t="n"/>
      <c r="F82" s="49" t="n"/>
      <c r="G82" s="59" t="n">
        <v>48245</v>
      </c>
      <c r="H82" s="83" t="n"/>
      <c r="I82" s="49" t="n"/>
      <c r="J82" s="50" t="n"/>
      <c r="K82" s="115" t="n"/>
      <c r="L82" s="83" t="n"/>
      <c r="M82" s="49" t="n"/>
      <c r="N82" s="49" t="n"/>
      <c r="O82" s="115" t="n"/>
      <c r="P82" s="83" t="n"/>
      <c r="Q82" s="49" t="n"/>
      <c r="R82" s="49" t="n"/>
      <c r="S82" s="115" t="n"/>
      <c r="T82" s="83" t="n"/>
      <c r="U82" s="49" t="n"/>
      <c r="V82" s="49" t="n"/>
      <c r="W82" s="116" t="n"/>
      <c r="X82" s="83" t="n"/>
      <c r="Y82" s="49" t="n"/>
      <c r="Z82" s="49" t="n"/>
      <c r="AA82" s="115" t="n"/>
      <c r="AB82" s="83" t="n"/>
      <c r="AC82" s="49" t="n"/>
      <c r="AD82" s="50" t="n"/>
      <c r="AE82" s="115" t="n"/>
      <c r="AF82" s="83" t="n"/>
      <c r="AG82" s="49" t="n"/>
      <c r="AH82" s="49" t="n"/>
      <c r="AI82" s="115" t="n"/>
      <c r="AJ82" s="83" t="n"/>
      <c r="AK82" s="49" t="n"/>
      <c r="AL82" s="49" t="n"/>
      <c r="AM82" s="115" t="n"/>
      <c r="AN82" s="83" t="n"/>
      <c r="AO82" s="49" t="n"/>
      <c r="AP82" s="49" t="n"/>
      <c r="AQ82" s="116" t="n"/>
      <c r="AR82" s="83" t="n"/>
      <c r="AS82" s="49" t="n"/>
      <c r="AT82" s="49" t="n"/>
      <c r="AU82" s="115" t="n"/>
      <c r="AV82" s="83" t="n"/>
      <c r="AW82" s="49" t="n"/>
      <c r="AX82" s="49" t="n"/>
      <c r="AY82" s="115" t="n"/>
      <c r="AZ82" s="83" t="n"/>
      <c r="BA82" s="49" t="n"/>
      <c r="BB82" s="49" t="n"/>
      <c r="BC82" s="115" t="n"/>
      <c r="BD82" s="110">
        <f>SUM(K82,O82,S82,W82,AA82,AE82,AI82,AM82,AQ82,AU82,AY82,BC82)</f>
        <v/>
      </c>
      <c r="BE82" s="45" t="n"/>
      <c r="BF82" s="113" t="n"/>
      <c r="BG82" s="45" t="n"/>
      <c r="BH82" s="113" t="n"/>
      <c r="BI82" s="45" t="n"/>
      <c r="BJ82" s="113" t="n"/>
      <c r="BK82" s="45" t="n"/>
      <c r="BL82" s="113" t="n"/>
      <c r="BM82" s="45" t="n"/>
      <c r="BN82" s="113" t="n"/>
      <c r="BO82" s="114">
        <f>SUM(BF82,BH82,BJ82,BL82,BN82)</f>
        <v/>
      </c>
      <c r="BP82" s="45" t="n"/>
      <c r="BQ82" s="45" t="n"/>
      <c r="BR82" s="113" t="n"/>
      <c r="BS82" s="45" t="n"/>
      <c r="BT82" s="113" t="n"/>
      <c r="BU82" s="45" t="n"/>
      <c r="BV82" s="113" t="n"/>
      <c r="BW82" s="114">
        <f>SUM(BR82,BT82,BV82)</f>
        <v/>
      </c>
      <c r="BX82" s="45" t="n"/>
      <c r="BY82" s="114">
        <f>BD82 - IF(BP82="Y", 0, BO82) - IF(BX82="Y", 0, BW82)</f>
        <v/>
      </c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</row>
    <row r="83" ht="13.5" customHeight="1">
      <c r="B83" s="47">
        <f>$B$3</f>
        <v/>
      </c>
      <c r="C83" s="48">
        <f>$C$3</f>
        <v/>
      </c>
      <c r="D83" s="40">
        <f>IF(SUM(COUNTIF(H83, "*"), COUNTIF(L83, "*"), COUNTIF(P83, "*"), COUNTIF(T83, "*"), COUNTIF(X83, "*"), COUNTIF(AB83, "*"), COUNTIF(AF83, "*"), COUNTIF(AJ83, "*"), COUNTIF(AN83, "*"), COUNTIF(AR83, "*"), COUNTIF(AV83, "*"), COUNTIF(AZ83, "*"))&gt;0, "Y", "N")</f>
        <v/>
      </c>
      <c r="E83" s="49" t="n"/>
      <c r="F83" s="49" t="n"/>
      <c r="G83" s="59" t="n">
        <v>48274</v>
      </c>
      <c r="H83" s="83" t="n"/>
      <c r="I83" s="49" t="n"/>
      <c r="J83" s="50" t="n"/>
      <c r="K83" s="115" t="n"/>
      <c r="L83" s="83" t="n"/>
      <c r="M83" s="49" t="n"/>
      <c r="N83" s="49" t="n"/>
      <c r="O83" s="115" t="n"/>
      <c r="P83" s="83" t="n"/>
      <c r="Q83" s="49" t="n"/>
      <c r="R83" s="49" t="n"/>
      <c r="S83" s="115" t="n"/>
      <c r="T83" s="83" t="n"/>
      <c r="U83" s="49" t="n"/>
      <c r="V83" s="49" t="n"/>
      <c r="W83" s="116" t="n"/>
      <c r="X83" s="83" t="n"/>
      <c r="Y83" s="49" t="n"/>
      <c r="Z83" s="49" t="n"/>
      <c r="AA83" s="115" t="n"/>
      <c r="AB83" s="83" t="n"/>
      <c r="AC83" s="49" t="n"/>
      <c r="AD83" s="50" t="n"/>
      <c r="AE83" s="115" t="n"/>
      <c r="AF83" s="83" t="n"/>
      <c r="AG83" s="49" t="n"/>
      <c r="AH83" s="49" t="n"/>
      <c r="AI83" s="115" t="n"/>
      <c r="AJ83" s="83" t="n"/>
      <c r="AK83" s="49" t="n"/>
      <c r="AL83" s="49" t="n"/>
      <c r="AM83" s="115" t="n"/>
      <c r="AN83" s="83" t="n"/>
      <c r="AO83" s="49" t="n"/>
      <c r="AP83" s="49" t="n"/>
      <c r="AQ83" s="116" t="n"/>
      <c r="AR83" s="83" t="n"/>
      <c r="AS83" s="49" t="n"/>
      <c r="AT83" s="49" t="n"/>
      <c r="AU83" s="115" t="n"/>
      <c r="AV83" s="83" t="n"/>
      <c r="AW83" s="49" t="n"/>
      <c r="AX83" s="49" t="n"/>
      <c r="AY83" s="115" t="n"/>
      <c r="AZ83" s="83" t="n"/>
      <c r="BA83" s="49" t="n"/>
      <c r="BB83" s="49" t="n"/>
      <c r="BC83" s="115" t="n"/>
      <c r="BD83" s="110">
        <f>SUM(K83,O83,S83,W83,AA83,AE83,AI83,AM83,AQ83,AU83,AY83,BC83)</f>
        <v/>
      </c>
      <c r="BE83" s="45" t="n"/>
      <c r="BF83" s="113" t="n"/>
      <c r="BG83" s="45" t="n"/>
      <c r="BH83" s="113" t="n"/>
      <c r="BI83" s="45" t="n"/>
      <c r="BJ83" s="113" t="n"/>
      <c r="BK83" s="45" t="n"/>
      <c r="BL83" s="113" t="n"/>
      <c r="BM83" s="45" t="n"/>
      <c r="BN83" s="113" t="n"/>
      <c r="BO83" s="114">
        <f>SUM(BF83,BH83,BJ83,BL83,BN83)</f>
        <v/>
      </c>
      <c r="BP83" s="45" t="n"/>
      <c r="BQ83" s="45" t="n"/>
      <c r="BR83" s="113" t="n"/>
      <c r="BS83" s="45" t="n"/>
      <c r="BT83" s="113" t="n"/>
      <c r="BU83" s="45" t="n"/>
      <c r="BV83" s="113" t="n"/>
      <c r="BW83" s="114">
        <f>SUM(BR83,BT83,BV83)</f>
        <v/>
      </c>
      <c r="BX83" s="45" t="n"/>
      <c r="BY83" s="114">
        <f>BD83 - IF(BP83="Y", 0, BO83) - IF(BX83="Y", 0, BW83)</f>
        <v/>
      </c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</row>
    <row r="84" ht="13.5" customHeight="1">
      <c r="B84" s="47">
        <f>$B$3</f>
        <v/>
      </c>
      <c r="C84" s="48">
        <f>$C$3</f>
        <v/>
      </c>
      <c r="D84" s="40">
        <f>IF(SUM(COUNTIF(H84, "*"), COUNTIF(L84, "*"), COUNTIF(P84, "*"), COUNTIF(T84, "*"), COUNTIF(X84, "*"), COUNTIF(AB84, "*"), COUNTIF(AF84, "*"), COUNTIF(AJ84, "*"), COUNTIF(AN84, "*"), COUNTIF(AR84, "*"), COUNTIF(AV84, "*"), COUNTIF(AZ84, "*"))&gt;0, "Y", "N")</f>
        <v/>
      </c>
      <c r="E84" s="49" t="n"/>
      <c r="F84" s="49" t="n"/>
      <c r="G84" s="59" t="n">
        <v>48305</v>
      </c>
      <c r="H84" s="83" t="n"/>
      <c r="I84" s="49" t="n"/>
      <c r="J84" s="50" t="n"/>
      <c r="K84" s="115" t="n"/>
      <c r="L84" s="83" t="n"/>
      <c r="M84" s="49" t="n"/>
      <c r="N84" s="49" t="n"/>
      <c r="O84" s="115" t="n"/>
      <c r="P84" s="83" t="n"/>
      <c r="Q84" s="49" t="n"/>
      <c r="R84" s="49" t="n"/>
      <c r="S84" s="115" t="n"/>
      <c r="T84" s="83" t="n"/>
      <c r="U84" s="49" t="n"/>
      <c r="V84" s="49" t="n"/>
      <c r="W84" s="116" t="n"/>
      <c r="X84" s="83" t="n"/>
      <c r="Y84" s="49" t="n"/>
      <c r="Z84" s="49" t="n"/>
      <c r="AA84" s="115" t="n"/>
      <c r="AB84" s="83" t="n"/>
      <c r="AC84" s="49" t="n"/>
      <c r="AD84" s="50" t="n"/>
      <c r="AE84" s="115" t="n"/>
      <c r="AF84" s="83" t="n"/>
      <c r="AG84" s="49" t="n"/>
      <c r="AH84" s="49" t="n"/>
      <c r="AI84" s="115" t="n"/>
      <c r="AJ84" s="83" t="n"/>
      <c r="AK84" s="49" t="n"/>
      <c r="AL84" s="49" t="n"/>
      <c r="AM84" s="115" t="n"/>
      <c r="AN84" s="83" t="n"/>
      <c r="AO84" s="49" t="n"/>
      <c r="AP84" s="49" t="n"/>
      <c r="AQ84" s="116" t="n"/>
      <c r="AR84" s="83" t="n"/>
      <c r="AS84" s="49" t="n"/>
      <c r="AT84" s="49" t="n"/>
      <c r="AU84" s="115" t="n"/>
      <c r="AV84" s="83" t="n"/>
      <c r="AW84" s="49" t="n"/>
      <c r="AX84" s="49" t="n"/>
      <c r="AY84" s="115" t="n"/>
      <c r="AZ84" s="83" t="n"/>
      <c r="BA84" s="49" t="n"/>
      <c r="BB84" s="49" t="n"/>
      <c r="BC84" s="115" t="n"/>
      <c r="BD84" s="110">
        <f>SUM(K84,O84,S84,W84,AA84,AE84,AI84,AM84,AQ84,AU84,AY84,BC84)</f>
        <v/>
      </c>
      <c r="BE84" s="45" t="n"/>
      <c r="BF84" s="113" t="n"/>
      <c r="BG84" s="45" t="n"/>
      <c r="BH84" s="113" t="n"/>
      <c r="BI84" s="45" t="n"/>
      <c r="BJ84" s="113" t="n"/>
      <c r="BK84" s="45" t="n"/>
      <c r="BL84" s="113" t="n"/>
      <c r="BM84" s="45" t="n"/>
      <c r="BN84" s="113" t="n"/>
      <c r="BO84" s="114">
        <f>SUM(BF84,BH84,BJ84,BL84,BN84)</f>
        <v/>
      </c>
      <c r="BP84" s="45" t="n"/>
      <c r="BQ84" s="45" t="n"/>
      <c r="BR84" s="113" t="n"/>
      <c r="BS84" s="45" t="n"/>
      <c r="BT84" s="113" t="n"/>
      <c r="BU84" s="45" t="n"/>
      <c r="BV84" s="113" t="n"/>
      <c r="BW84" s="114">
        <f>SUM(BR84,BT84,BV84)</f>
        <v/>
      </c>
      <c r="BX84" s="45" t="n"/>
      <c r="BY84" s="114">
        <f>BD84 - IF(BP84="Y", 0, BO84) - IF(BX84="Y", 0, BW84)</f>
        <v/>
      </c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</row>
    <row r="85" ht="13.5" customHeight="1">
      <c r="B85" s="47">
        <f>$B$3</f>
        <v/>
      </c>
      <c r="C85" s="48">
        <f>$C$3</f>
        <v/>
      </c>
      <c r="D85" s="40">
        <f>IF(SUM(COUNTIF(H85, "*"), COUNTIF(L85, "*"), COUNTIF(P85, "*"), COUNTIF(T85, "*"), COUNTIF(X85, "*"), COUNTIF(AB85, "*"), COUNTIF(AF85, "*"), COUNTIF(AJ85, "*"), COUNTIF(AN85, "*"), COUNTIF(AR85, "*"), COUNTIF(AV85, "*"), COUNTIF(AZ85, "*"))&gt;0, "Y", "N")</f>
        <v/>
      </c>
      <c r="E85" s="49" t="n"/>
      <c r="F85" s="49" t="n"/>
      <c r="G85" s="59" t="n">
        <v>48335</v>
      </c>
      <c r="H85" s="83" t="n"/>
      <c r="I85" s="49" t="n"/>
      <c r="J85" s="50" t="n"/>
      <c r="K85" s="115" t="n"/>
      <c r="L85" s="83" t="n"/>
      <c r="M85" s="49" t="n"/>
      <c r="N85" s="49" t="n"/>
      <c r="O85" s="115" t="n"/>
      <c r="P85" s="83" t="n"/>
      <c r="Q85" s="49" t="n"/>
      <c r="R85" s="49" t="n"/>
      <c r="S85" s="115" t="n"/>
      <c r="T85" s="83" t="n"/>
      <c r="U85" s="49" t="n"/>
      <c r="V85" s="49" t="n"/>
      <c r="W85" s="116" t="n"/>
      <c r="X85" s="83" t="n"/>
      <c r="Y85" s="49" t="n"/>
      <c r="Z85" s="49" t="n"/>
      <c r="AA85" s="115" t="n"/>
      <c r="AB85" s="83" t="n"/>
      <c r="AC85" s="49" t="n"/>
      <c r="AD85" s="50" t="n"/>
      <c r="AE85" s="115" t="n"/>
      <c r="AF85" s="83" t="n"/>
      <c r="AG85" s="49" t="n"/>
      <c r="AH85" s="49" t="n"/>
      <c r="AI85" s="115" t="n"/>
      <c r="AJ85" s="83" t="n"/>
      <c r="AK85" s="49" t="n"/>
      <c r="AL85" s="49" t="n"/>
      <c r="AM85" s="115" t="n"/>
      <c r="AN85" s="83" t="n"/>
      <c r="AO85" s="49" t="n"/>
      <c r="AP85" s="49" t="n"/>
      <c r="AQ85" s="116" t="n"/>
      <c r="AR85" s="83" t="n"/>
      <c r="AS85" s="49" t="n"/>
      <c r="AT85" s="49" t="n"/>
      <c r="AU85" s="115" t="n"/>
      <c r="AV85" s="83" t="n"/>
      <c r="AW85" s="49" t="n"/>
      <c r="AX85" s="49" t="n"/>
      <c r="AY85" s="115" t="n"/>
      <c r="AZ85" s="83" t="n"/>
      <c r="BA85" s="49" t="n"/>
      <c r="BB85" s="49" t="n"/>
      <c r="BC85" s="115" t="n"/>
      <c r="BD85" s="110">
        <f>SUM(K85,O85,S85,W85,AA85,AE85,AI85,AM85,AQ85,AU85,AY85,BC85)</f>
        <v/>
      </c>
      <c r="BE85" s="45" t="n"/>
      <c r="BF85" s="113" t="n"/>
      <c r="BG85" s="45" t="n"/>
      <c r="BH85" s="113" t="n"/>
      <c r="BI85" s="45" t="n"/>
      <c r="BJ85" s="113" t="n"/>
      <c r="BK85" s="45" t="n"/>
      <c r="BL85" s="113" t="n"/>
      <c r="BM85" s="45" t="n"/>
      <c r="BN85" s="113" t="n"/>
      <c r="BO85" s="114">
        <f>SUM(BF85,BH85,BJ85,BL85,BN85)</f>
        <v/>
      </c>
      <c r="BP85" s="45" t="n"/>
      <c r="BQ85" s="45" t="n"/>
      <c r="BR85" s="113" t="n"/>
      <c r="BS85" s="45" t="n"/>
      <c r="BT85" s="113" t="n"/>
      <c r="BU85" s="45" t="n"/>
      <c r="BV85" s="113" t="n"/>
      <c r="BW85" s="114">
        <f>SUM(BR85,BT85,BV85)</f>
        <v/>
      </c>
      <c r="BX85" s="45" t="n"/>
      <c r="BY85" s="114">
        <f>BD85 - IF(BP85="Y", 0, BO85) - IF(BX85="Y", 0, BW85)</f>
        <v/>
      </c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</row>
    <row r="86" ht="13.5" customHeight="1">
      <c r="B86" s="47">
        <f>$B$3</f>
        <v/>
      </c>
      <c r="C86" s="48">
        <f>$C$3</f>
        <v/>
      </c>
      <c r="D86" s="40">
        <f>IF(SUM(COUNTIF(H86, "*"), COUNTIF(L86, "*"), COUNTIF(P86, "*"), COUNTIF(T86, "*"), COUNTIF(X86, "*"), COUNTIF(AB86, "*"), COUNTIF(AF86, "*"), COUNTIF(AJ86, "*"), COUNTIF(AN86, "*"), COUNTIF(AR86, "*"), COUNTIF(AV86, "*"), COUNTIF(AZ86, "*"))&gt;0, "Y", "N")</f>
        <v/>
      </c>
      <c r="E86" s="49" t="n"/>
      <c r="F86" s="49" t="n"/>
      <c r="G86" s="59" t="n">
        <v>48366</v>
      </c>
      <c r="H86" s="83" t="n"/>
      <c r="I86" s="49" t="n"/>
      <c r="J86" s="50" t="n"/>
      <c r="K86" s="115" t="n"/>
      <c r="L86" s="83" t="n"/>
      <c r="M86" s="49" t="n"/>
      <c r="N86" s="49" t="n"/>
      <c r="O86" s="115" t="n"/>
      <c r="P86" s="83" t="n"/>
      <c r="Q86" s="49" t="n"/>
      <c r="R86" s="49" t="n"/>
      <c r="S86" s="115" t="n"/>
      <c r="T86" s="83" t="n"/>
      <c r="U86" s="49" t="n"/>
      <c r="V86" s="49" t="n"/>
      <c r="W86" s="116" t="n"/>
      <c r="X86" s="83" t="n"/>
      <c r="Y86" s="49" t="n"/>
      <c r="Z86" s="49" t="n"/>
      <c r="AA86" s="115" t="n"/>
      <c r="AB86" s="83" t="n"/>
      <c r="AC86" s="49" t="n"/>
      <c r="AD86" s="50" t="n"/>
      <c r="AE86" s="115" t="n"/>
      <c r="AF86" s="83" t="n"/>
      <c r="AG86" s="49" t="n"/>
      <c r="AH86" s="49" t="n"/>
      <c r="AI86" s="115" t="n"/>
      <c r="AJ86" s="83" t="n"/>
      <c r="AK86" s="49" t="n"/>
      <c r="AL86" s="49" t="n"/>
      <c r="AM86" s="115" t="n"/>
      <c r="AN86" s="83" t="n"/>
      <c r="AO86" s="49" t="n"/>
      <c r="AP86" s="49" t="n"/>
      <c r="AQ86" s="116" t="n"/>
      <c r="AR86" s="83" t="n"/>
      <c r="AS86" s="49" t="n"/>
      <c r="AT86" s="49" t="n"/>
      <c r="AU86" s="115" t="n"/>
      <c r="AV86" s="83" t="n"/>
      <c r="AW86" s="49" t="n"/>
      <c r="AX86" s="49" t="n"/>
      <c r="AY86" s="115" t="n"/>
      <c r="AZ86" s="83" t="n"/>
      <c r="BA86" s="49" t="n"/>
      <c r="BB86" s="49" t="n"/>
      <c r="BC86" s="115" t="n"/>
      <c r="BD86" s="110">
        <f>SUM(K86,O86,S86,W86,AA86,AE86,AI86,AM86,AQ86,AU86,AY86,BC86)</f>
        <v/>
      </c>
      <c r="BE86" s="45" t="n"/>
      <c r="BF86" s="113" t="n"/>
      <c r="BG86" s="45" t="n"/>
      <c r="BH86" s="113" t="n"/>
      <c r="BI86" s="45" t="n"/>
      <c r="BJ86" s="113" t="n"/>
      <c r="BK86" s="45" t="n"/>
      <c r="BL86" s="113" t="n"/>
      <c r="BM86" s="45" t="n"/>
      <c r="BN86" s="113" t="n"/>
      <c r="BO86" s="114">
        <f>SUM(BF86,BH86,BJ86,BL86,BN86)</f>
        <v/>
      </c>
      <c r="BP86" s="45" t="n"/>
      <c r="BQ86" s="45" t="n"/>
      <c r="BR86" s="113" t="n"/>
      <c r="BS86" s="45" t="n"/>
      <c r="BT86" s="113" t="n"/>
      <c r="BU86" s="45" t="n"/>
      <c r="BV86" s="113" t="n"/>
      <c r="BW86" s="114">
        <f>SUM(BR86,BT86,BV86)</f>
        <v/>
      </c>
      <c r="BX86" s="45" t="n"/>
      <c r="BY86" s="114">
        <f>BD86 - IF(BP86="Y", 0, BO86) - IF(BX86="Y", 0, BW86)</f>
        <v/>
      </c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</row>
    <row r="87" ht="13.5" customHeight="1">
      <c r="B87" s="47">
        <f>$B$3</f>
        <v/>
      </c>
      <c r="C87" s="48">
        <f>$C$3</f>
        <v/>
      </c>
      <c r="D87" s="40">
        <f>IF(SUM(COUNTIF(H87, "*"), COUNTIF(L87, "*"), COUNTIF(P87, "*"), COUNTIF(T87, "*"), COUNTIF(X87, "*"), COUNTIF(AB87, "*"), COUNTIF(AF87, "*"), COUNTIF(AJ87, "*"), COUNTIF(AN87, "*"), COUNTIF(AR87, "*"), COUNTIF(AV87, "*"), COUNTIF(AZ87, "*"))&gt;0, "Y", "N")</f>
        <v/>
      </c>
      <c r="E87" s="49" t="n"/>
      <c r="F87" s="49" t="n"/>
      <c r="G87" s="59" t="n">
        <v>48396</v>
      </c>
      <c r="H87" s="83" t="n"/>
      <c r="I87" s="49" t="n"/>
      <c r="J87" s="50" t="n"/>
      <c r="K87" s="115" t="n"/>
      <c r="L87" s="83" t="n"/>
      <c r="M87" s="49" t="n"/>
      <c r="N87" s="49" t="n"/>
      <c r="O87" s="115" t="n"/>
      <c r="P87" s="83" t="n"/>
      <c r="Q87" s="49" t="n"/>
      <c r="R87" s="49" t="n"/>
      <c r="S87" s="115" t="n"/>
      <c r="T87" s="83" t="n"/>
      <c r="U87" s="49" t="n"/>
      <c r="V87" s="49" t="n"/>
      <c r="W87" s="116" t="n"/>
      <c r="X87" s="83" t="n"/>
      <c r="Y87" s="49" t="n"/>
      <c r="Z87" s="49" t="n"/>
      <c r="AA87" s="115" t="n"/>
      <c r="AB87" s="83" t="n"/>
      <c r="AC87" s="49" t="n"/>
      <c r="AD87" s="50" t="n"/>
      <c r="AE87" s="115" t="n"/>
      <c r="AF87" s="83" t="n"/>
      <c r="AG87" s="49" t="n"/>
      <c r="AH87" s="49" t="n"/>
      <c r="AI87" s="115" t="n"/>
      <c r="AJ87" s="83" t="n"/>
      <c r="AK87" s="49" t="n"/>
      <c r="AL87" s="49" t="n"/>
      <c r="AM87" s="115" t="n"/>
      <c r="AN87" s="83" t="n"/>
      <c r="AO87" s="49" t="n"/>
      <c r="AP87" s="49" t="n"/>
      <c r="AQ87" s="116" t="n"/>
      <c r="AR87" s="83" t="n"/>
      <c r="AS87" s="49" t="n"/>
      <c r="AT87" s="49" t="n"/>
      <c r="AU87" s="115" t="n"/>
      <c r="AV87" s="83" t="n"/>
      <c r="AW87" s="49" t="n"/>
      <c r="AX87" s="49" t="n"/>
      <c r="AY87" s="115" t="n"/>
      <c r="AZ87" s="83" t="n"/>
      <c r="BA87" s="49" t="n"/>
      <c r="BB87" s="49" t="n"/>
      <c r="BC87" s="115" t="n"/>
      <c r="BD87" s="110">
        <f>SUM(K87,O87,S87,W87,AA87,AE87,AI87,AM87,AQ87,AU87,AY87,BC87)</f>
        <v/>
      </c>
      <c r="BE87" s="45" t="n"/>
      <c r="BF87" s="113" t="n"/>
      <c r="BG87" s="45" t="n"/>
      <c r="BH87" s="113" t="n"/>
      <c r="BI87" s="45" t="n"/>
      <c r="BJ87" s="113" t="n"/>
      <c r="BK87" s="45" t="n"/>
      <c r="BL87" s="113" t="n"/>
      <c r="BM87" s="45" t="n"/>
      <c r="BN87" s="113" t="n"/>
      <c r="BO87" s="114">
        <f>SUM(BF87,BH87,BJ87,BL87,BN87)</f>
        <v/>
      </c>
      <c r="BP87" s="45" t="n"/>
      <c r="BQ87" s="45" t="n"/>
      <c r="BR87" s="113" t="n"/>
      <c r="BS87" s="45" t="n"/>
      <c r="BT87" s="113" t="n"/>
      <c r="BU87" s="45" t="n"/>
      <c r="BV87" s="113" t="n"/>
      <c r="BW87" s="114">
        <f>SUM(BR87,BT87,BV87)</f>
        <v/>
      </c>
      <c r="BX87" s="45" t="n"/>
      <c r="BY87" s="114">
        <f>BD87 - IF(BP87="Y", 0, BO87) - IF(BX87="Y", 0, BW87)</f>
        <v/>
      </c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</row>
    <row r="88" ht="13.5" customHeight="1">
      <c r="B88" s="47">
        <f>$B$3</f>
        <v/>
      </c>
      <c r="C88" s="48">
        <f>$C$3</f>
        <v/>
      </c>
      <c r="D88" s="40">
        <f>IF(SUM(COUNTIF(H88, "*"), COUNTIF(L88, "*"), COUNTIF(P88, "*"), COUNTIF(T88, "*"), COUNTIF(X88, "*"), COUNTIF(AB88, "*"), COUNTIF(AF88, "*"), COUNTIF(AJ88, "*"), COUNTIF(AN88, "*"), COUNTIF(AR88, "*"), COUNTIF(AV88, "*"), COUNTIF(AZ88, "*"))&gt;0, "Y", "N")</f>
        <v/>
      </c>
      <c r="E88" s="49" t="n"/>
      <c r="F88" s="49" t="n"/>
      <c r="G88" s="59" t="n">
        <v>48427</v>
      </c>
      <c r="H88" s="83" t="n"/>
      <c r="I88" s="49" t="n"/>
      <c r="J88" s="50" t="n"/>
      <c r="K88" s="115" t="n"/>
      <c r="L88" s="83" t="n"/>
      <c r="M88" s="49" t="n"/>
      <c r="N88" s="49" t="n"/>
      <c r="O88" s="115" t="n"/>
      <c r="P88" s="83" t="n"/>
      <c r="Q88" s="49" t="n"/>
      <c r="R88" s="49" t="n"/>
      <c r="S88" s="115" t="n"/>
      <c r="T88" s="83" t="n"/>
      <c r="U88" s="49" t="n"/>
      <c r="V88" s="49" t="n"/>
      <c r="W88" s="116" t="n"/>
      <c r="X88" s="83" t="n"/>
      <c r="Y88" s="49" t="n"/>
      <c r="Z88" s="49" t="n"/>
      <c r="AA88" s="115" t="n"/>
      <c r="AB88" s="83" t="n"/>
      <c r="AC88" s="49" t="n"/>
      <c r="AD88" s="50" t="n"/>
      <c r="AE88" s="115" t="n"/>
      <c r="AF88" s="83" t="n"/>
      <c r="AG88" s="49" t="n"/>
      <c r="AH88" s="49" t="n"/>
      <c r="AI88" s="115" t="n"/>
      <c r="AJ88" s="83" t="n"/>
      <c r="AK88" s="49" t="n"/>
      <c r="AL88" s="49" t="n"/>
      <c r="AM88" s="115" t="n"/>
      <c r="AN88" s="83" t="n"/>
      <c r="AO88" s="49" t="n"/>
      <c r="AP88" s="49" t="n"/>
      <c r="AQ88" s="116" t="n"/>
      <c r="AR88" s="83" t="n"/>
      <c r="AS88" s="49" t="n"/>
      <c r="AT88" s="49" t="n"/>
      <c r="AU88" s="115" t="n"/>
      <c r="AV88" s="83" t="n"/>
      <c r="AW88" s="49" t="n"/>
      <c r="AX88" s="49" t="n"/>
      <c r="AY88" s="115" t="n"/>
      <c r="AZ88" s="83" t="n"/>
      <c r="BA88" s="49" t="n"/>
      <c r="BB88" s="49" t="n"/>
      <c r="BC88" s="115" t="n"/>
      <c r="BD88" s="110">
        <f>SUM(K88,O88,S88,W88,AA88,AE88,AI88,AM88,AQ88,AU88,AY88,BC88)</f>
        <v/>
      </c>
      <c r="BE88" s="45" t="n"/>
      <c r="BF88" s="113" t="n"/>
      <c r="BG88" s="45" t="n"/>
      <c r="BH88" s="113" t="n"/>
      <c r="BI88" s="45" t="n"/>
      <c r="BJ88" s="113" t="n"/>
      <c r="BK88" s="45" t="n"/>
      <c r="BL88" s="113" t="n"/>
      <c r="BM88" s="45" t="n"/>
      <c r="BN88" s="113" t="n"/>
      <c r="BO88" s="114">
        <f>SUM(BF88,BH88,BJ88,BL88,BN88)</f>
        <v/>
      </c>
      <c r="BP88" s="45" t="n"/>
      <c r="BQ88" s="45" t="n"/>
      <c r="BR88" s="113" t="n"/>
      <c r="BS88" s="45" t="n"/>
      <c r="BT88" s="113" t="n"/>
      <c r="BU88" s="45" t="n"/>
      <c r="BV88" s="113" t="n"/>
      <c r="BW88" s="114">
        <f>SUM(BR88,BT88,BV88)</f>
        <v/>
      </c>
      <c r="BX88" s="45" t="n"/>
      <c r="BY88" s="114">
        <f>BD88 - IF(BP88="Y", 0, BO88) - IF(BX88="Y", 0, BW88)</f>
        <v/>
      </c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</row>
    <row r="89" ht="13.5" customHeight="1">
      <c r="B89" s="47">
        <f>$B$3</f>
        <v/>
      </c>
      <c r="C89" s="48">
        <f>$C$3</f>
        <v/>
      </c>
      <c r="D89" s="40">
        <f>IF(SUM(COUNTIF(H89, "*"), COUNTIF(L89, "*"), COUNTIF(P89, "*"), COUNTIF(T89, "*"), COUNTIF(X89, "*"), COUNTIF(AB89, "*"), COUNTIF(AF89, "*"), COUNTIF(AJ89, "*"), COUNTIF(AN89, "*"), COUNTIF(AR89, "*"), COUNTIF(AV89, "*"), COUNTIF(AZ89, "*"))&gt;0, "Y", "N")</f>
        <v/>
      </c>
      <c r="E89" s="49" t="n"/>
      <c r="F89" s="49" t="n"/>
      <c r="G89" s="59" t="n">
        <v>48458</v>
      </c>
      <c r="H89" s="83" t="n"/>
      <c r="I89" s="49" t="n"/>
      <c r="J89" s="50" t="n"/>
      <c r="K89" s="115" t="n"/>
      <c r="L89" s="83" t="n"/>
      <c r="M89" s="49" t="n"/>
      <c r="N89" s="49" t="n"/>
      <c r="O89" s="115" t="n"/>
      <c r="P89" s="83" t="n"/>
      <c r="Q89" s="49" t="n"/>
      <c r="R89" s="49" t="n"/>
      <c r="S89" s="115" t="n"/>
      <c r="T89" s="83" t="n"/>
      <c r="U89" s="49" t="n"/>
      <c r="V89" s="49" t="n"/>
      <c r="W89" s="116" t="n"/>
      <c r="X89" s="83" t="n"/>
      <c r="Y89" s="49" t="n"/>
      <c r="Z89" s="49" t="n"/>
      <c r="AA89" s="115" t="n"/>
      <c r="AB89" s="83" t="n"/>
      <c r="AC89" s="49" t="n"/>
      <c r="AD89" s="50" t="n"/>
      <c r="AE89" s="115" t="n"/>
      <c r="AF89" s="83" t="n"/>
      <c r="AG89" s="49" t="n"/>
      <c r="AH89" s="49" t="n"/>
      <c r="AI89" s="115" t="n"/>
      <c r="AJ89" s="83" t="n"/>
      <c r="AK89" s="49" t="n"/>
      <c r="AL89" s="49" t="n"/>
      <c r="AM89" s="115" t="n"/>
      <c r="AN89" s="83" t="n"/>
      <c r="AO89" s="49" t="n"/>
      <c r="AP89" s="49" t="n"/>
      <c r="AQ89" s="116" t="n"/>
      <c r="AR89" s="83" t="n"/>
      <c r="AS89" s="49" t="n"/>
      <c r="AT89" s="49" t="n"/>
      <c r="AU89" s="115" t="n"/>
      <c r="AV89" s="83" t="n"/>
      <c r="AW89" s="49" t="n"/>
      <c r="AX89" s="49" t="n"/>
      <c r="AY89" s="115" t="n"/>
      <c r="AZ89" s="83" t="n"/>
      <c r="BA89" s="49" t="n"/>
      <c r="BB89" s="49" t="n"/>
      <c r="BC89" s="115" t="n"/>
      <c r="BD89" s="110">
        <f>SUM(K89,O89,S89,W89,AA89,AE89,AI89,AM89,AQ89,AU89,AY89,BC89)</f>
        <v/>
      </c>
      <c r="BE89" s="45" t="n"/>
      <c r="BF89" s="113" t="n"/>
      <c r="BG89" s="45" t="n"/>
      <c r="BH89" s="113" t="n"/>
      <c r="BI89" s="45" t="n"/>
      <c r="BJ89" s="113" t="n"/>
      <c r="BK89" s="45" t="n"/>
      <c r="BL89" s="113" t="n"/>
      <c r="BM89" s="45" t="n"/>
      <c r="BN89" s="113" t="n"/>
      <c r="BO89" s="114">
        <f>SUM(BF89,BH89,BJ89,BL89,BN89)</f>
        <v/>
      </c>
      <c r="BP89" s="45" t="n"/>
      <c r="BQ89" s="45" t="n"/>
      <c r="BR89" s="113" t="n"/>
      <c r="BS89" s="45" t="n"/>
      <c r="BT89" s="113" t="n"/>
      <c r="BU89" s="45" t="n"/>
      <c r="BV89" s="113" t="n"/>
      <c r="BW89" s="114">
        <f>SUM(BR89,BT89,BV89)</f>
        <v/>
      </c>
      <c r="BX89" s="45" t="n"/>
      <c r="BY89" s="114">
        <f>BD89 - IF(BP89="Y", 0, BO89) - IF(BX89="Y", 0, BW89)</f>
        <v/>
      </c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</row>
    <row r="90" ht="13.5" customHeight="1">
      <c r="B90" s="47">
        <f>$B$3</f>
        <v/>
      </c>
      <c r="C90" s="48">
        <f>$C$3</f>
        <v/>
      </c>
      <c r="D90" s="40">
        <f>IF(SUM(COUNTIF(H90, "*"), COUNTIF(L90, "*"), COUNTIF(P90, "*"), COUNTIF(T90, "*"), COUNTIF(X90, "*"), COUNTIF(AB90, "*"), COUNTIF(AF90, "*"), COUNTIF(AJ90, "*"), COUNTIF(AN90, "*"), COUNTIF(AR90, "*"), COUNTIF(AV90, "*"), COUNTIF(AZ90, "*"))&gt;0, "Y", "N")</f>
        <v/>
      </c>
      <c r="E90" s="49" t="n"/>
      <c r="F90" s="49" t="n"/>
      <c r="G90" s="59" t="n">
        <v>48488</v>
      </c>
      <c r="H90" s="83" t="n"/>
      <c r="I90" s="49" t="n"/>
      <c r="J90" s="50" t="n"/>
      <c r="K90" s="115" t="n"/>
      <c r="L90" s="83" t="n"/>
      <c r="M90" s="49" t="n"/>
      <c r="N90" s="49" t="n"/>
      <c r="O90" s="115" t="n"/>
      <c r="P90" s="83" t="n"/>
      <c r="Q90" s="49" t="n"/>
      <c r="R90" s="49" t="n"/>
      <c r="S90" s="115" t="n"/>
      <c r="T90" s="83" t="n"/>
      <c r="U90" s="49" t="n"/>
      <c r="V90" s="49" t="n"/>
      <c r="W90" s="116" t="n"/>
      <c r="X90" s="83" t="n"/>
      <c r="Y90" s="49" t="n"/>
      <c r="Z90" s="49" t="n"/>
      <c r="AA90" s="115" t="n"/>
      <c r="AB90" s="83" t="n"/>
      <c r="AC90" s="49" t="n"/>
      <c r="AD90" s="50" t="n"/>
      <c r="AE90" s="115" t="n"/>
      <c r="AF90" s="83" t="n"/>
      <c r="AG90" s="49" t="n"/>
      <c r="AH90" s="49" t="n"/>
      <c r="AI90" s="115" t="n"/>
      <c r="AJ90" s="83" t="n"/>
      <c r="AK90" s="49" t="n"/>
      <c r="AL90" s="49" t="n"/>
      <c r="AM90" s="115" t="n"/>
      <c r="AN90" s="83" t="n"/>
      <c r="AO90" s="49" t="n"/>
      <c r="AP90" s="49" t="n"/>
      <c r="AQ90" s="116" t="n"/>
      <c r="AR90" s="83" t="n"/>
      <c r="AS90" s="49" t="n"/>
      <c r="AT90" s="49" t="n"/>
      <c r="AU90" s="115" t="n"/>
      <c r="AV90" s="83" t="n"/>
      <c r="AW90" s="49" t="n"/>
      <c r="AX90" s="49" t="n"/>
      <c r="AY90" s="115" t="n"/>
      <c r="AZ90" s="83" t="n"/>
      <c r="BA90" s="49" t="n"/>
      <c r="BB90" s="49" t="n"/>
      <c r="BC90" s="115" t="n"/>
      <c r="BD90" s="110">
        <f>SUM(K90,O90,S90,W90,AA90,AE90,AI90,AM90,AQ90,AU90,AY90,BC90)</f>
        <v/>
      </c>
      <c r="BE90" s="45" t="n"/>
      <c r="BF90" s="113" t="n"/>
      <c r="BG90" s="45" t="n"/>
      <c r="BH90" s="113" t="n"/>
      <c r="BI90" s="45" t="n"/>
      <c r="BJ90" s="113" t="n"/>
      <c r="BK90" s="45" t="n"/>
      <c r="BL90" s="113" t="n"/>
      <c r="BM90" s="45" t="n"/>
      <c r="BN90" s="113" t="n"/>
      <c r="BO90" s="114">
        <f>SUM(BF90,BH90,BJ90,BL90,BN90)</f>
        <v/>
      </c>
      <c r="BP90" s="45" t="n"/>
      <c r="BQ90" s="45" t="n"/>
      <c r="BR90" s="113" t="n"/>
      <c r="BS90" s="45" t="n"/>
      <c r="BT90" s="113" t="n"/>
      <c r="BU90" s="45" t="n"/>
      <c r="BV90" s="113" t="n"/>
      <c r="BW90" s="114">
        <f>SUM(BR90,BT90,BV90)</f>
        <v/>
      </c>
      <c r="BX90" s="45" t="n"/>
      <c r="BY90" s="114">
        <f>BD90 - IF(BP90="Y", 0, BO90) - IF(BX90="Y", 0, BW90)</f>
        <v/>
      </c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</row>
    <row r="91" ht="13.5" customHeight="1">
      <c r="B91" s="47">
        <f>$B$3</f>
        <v/>
      </c>
      <c r="C91" s="48">
        <f>$C$3</f>
        <v/>
      </c>
      <c r="D91" s="40">
        <f>IF(SUM(COUNTIF(H91, "*"), COUNTIF(L91, "*"), COUNTIF(P91, "*"), COUNTIF(T91, "*"), COUNTIF(X91, "*"), COUNTIF(AB91, "*"), COUNTIF(AF91, "*"), COUNTIF(AJ91, "*"), COUNTIF(AN91, "*"), COUNTIF(AR91, "*"), COUNTIF(AV91, "*"), COUNTIF(AZ91, "*"))&gt;0, "Y", "N")</f>
        <v/>
      </c>
      <c r="E91" s="49" t="n"/>
      <c r="F91" s="49" t="n"/>
      <c r="G91" s="59" t="n">
        <v>48519</v>
      </c>
      <c r="H91" s="83" t="n"/>
      <c r="I91" s="49" t="n"/>
      <c r="J91" s="50" t="n"/>
      <c r="K91" s="115" t="n"/>
      <c r="L91" s="83" t="n"/>
      <c r="M91" s="49" t="n"/>
      <c r="N91" s="49" t="n"/>
      <c r="O91" s="115" t="n"/>
      <c r="P91" s="83" t="n"/>
      <c r="Q91" s="49" t="n"/>
      <c r="R91" s="49" t="n"/>
      <c r="S91" s="115" t="n"/>
      <c r="T91" s="83" t="n"/>
      <c r="U91" s="49" t="n"/>
      <c r="V91" s="49" t="n"/>
      <c r="W91" s="116" t="n"/>
      <c r="X91" s="83" t="n"/>
      <c r="Y91" s="49" t="n"/>
      <c r="Z91" s="49" t="n"/>
      <c r="AA91" s="115" t="n"/>
      <c r="AB91" s="83" t="n"/>
      <c r="AC91" s="49" t="n"/>
      <c r="AD91" s="50" t="n"/>
      <c r="AE91" s="115" t="n"/>
      <c r="AF91" s="83" t="n"/>
      <c r="AG91" s="49" t="n"/>
      <c r="AH91" s="49" t="n"/>
      <c r="AI91" s="115" t="n"/>
      <c r="AJ91" s="83" t="n"/>
      <c r="AK91" s="49" t="n"/>
      <c r="AL91" s="49" t="n"/>
      <c r="AM91" s="115" t="n"/>
      <c r="AN91" s="83" t="n"/>
      <c r="AO91" s="49" t="n"/>
      <c r="AP91" s="49" t="n"/>
      <c r="AQ91" s="116" t="n"/>
      <c r="AR91" s="83" t="n"/>
      <c r="AS91" s="49" t="n"/>
      <c r="AT91" s="49" t="n"/>
      <c r="AU91" s="115" t="n"/>
      <c r="AV91" s="83" t="n"/>
      <c r="AW91" s="49" t="n"/>
      <c r="AX91" s="49" t="n"/>
      <c r="AY91" s="115" t="n"/>
      <c r="AZ91" s="83" t="n"/>
      <c r="BA91" s="49" t="n"/>
      <c r="BB91" s="49" t="n"/>
      <c r="BC91" s="115" t="n"/>
      <c r="BD91" s="110">
        <f>SUM(K91,O91,S91,W91,AA91,AE91,AI91,AM91,AQ91,AU91,AY91,BC91)</f>
        <v/>
      </c>
      <c r="BE91" s="45" t="n"/>
      <c r="BF91" s="113" t="n"/>
      <c r="BG91" s="45" t="n"/>
      <c r="BH91" s="113" t="n"/>
      <c r="BI91" s="45" t="n"/>
      <c r="BJ91" s="113" t="n"/>
      <c r="BK91" s="45" t="n"/>
      <c r="BL91" s="113" t="n"/>
      <c r="BM91" s="45" t="n"/>
      <c r="BN91" s="113" t="n"/>
      <c r="BO91" s="114">
        <f>SUM(BF91,BH91,BJ91,BL91,BN91)</f>
        <v/>
      </c>
      <c r="BP91" s="45" t="n"/>
      <c r="BQ91" s="45" t="n"/>
      <c r="BR91" s="113" t="n"/>
      <c r="BS91" s="45" t="n"/>
      <c r="BT91" s="113" t="n"/>
      <c r="BU91" s="45" t="n"/>
      <c r="BV91" s="113" t="n"/>
      <c r="BW91" s="114">
        <f>SUM(BR91,BT91,BV91)</f>
        <v/>
      </c>
      <c r="BX91" s="45" t="n"/>
      <c r="BY91" s="114">
        <f>BD91 - IF(BP91="Y", 0, BO91) - IF(BX91="Y", 0, BW91)</f>
        <v/>
      </c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</row>
    <row r="92" ht="13.5" customHeight="1">
      <c r="B92" s="47">
        <f>$B$3</f>
        <v/>
      </c>
      <c r="C92" s="48">
        <f>$C$3</f>
        <v/>
      </c>
      <c r="D92" s="40">
        <f>IF(SUM(COUNTIF(H92, "*"), COUNTIF(L92, "*"), COUNTIF(P92, "*"), COUNTIF(T92, "*"), COUNTIF(X92, "*"), COUNTIF(AB92, "*"), COUNTIF(AF92, "*"), COUNTIF(AJ92, "*"), COUNTIF(AN92, "*"), COUNTIF(AR92, "*"), COUNTIF(AV92, "*"), COUNTIF(AZ92, "*"))&gt;0, "Y", "N")</f>
        <v/>
      </c>
      <c r="E92" s="49" t="n"/>
      <c r="F92" s="49" t="n"/>
      <c r="G92" s="59" t="n">
        <v>48549</v>
      </c>
      <c r="H92" s="83" t="n"/>
      <c r="I92" s="49" t="n"/>
      <c r="J92" s="50" t="n"/>
      <c r="K92" s="115" t="n"/>
      <c r="L92" s="83" t="n"/>
      <c r="M92" s="49" t="n"/>
      <c r="N92" s="49" t="n"/>
      <c r="O92" s="115" t="n"/>
      <c r="P92" s="83" t="n"/>
      <c r="Q92" s="49" t="n"/>
      <c r="R92" s="49" t="n"/>
      <c r="S92" s="115" t="n"/>
      <c r="T92" s="83" t="n"/>
      <c r="U92" s="49" t="n"/>
      <c r="V92" s="49" t="n"/>
      <c r="W92" s="116" t="n"/>
      <c r="X92" s="83" t="n"/>
      <c r="Y92" s="49" t="n"/>
      <c r="Z92" s="49" t="n"/>
      <c r="AA92" s="115" t="n"/>
      <c r="AB92" s="83" t="n"/>
      <c r="AC92" s="49" t="n"/>
      <c r="AD92" s="50" t="n"/>
      <c r="AE92" s="115" t="n"/>
      <c r="AF92" s="83" t="n"/>
      <c r="AG92" s="49" t="n"/>
      <c r="AH92" s="49" t="n"/>
      <c r="AI92" s="115" t="n"/>
      <c r="AJ92" s="83" t="n"/>
      <c r="AK92" s="49" t="n"/>
      <c r="AL92" s="49" t="n"/>
      <c r="AM92" s="115" t="n"/>
      <c r="AN92" s="83" t="n"/>
      <c r="AO92" s="49" t="n"/>
      <c r="AP92" s="49" t="n"/>
      <c r="AQ92" s="116" t="n"/>
      <c r="AR92" s="83" t="n"/>
      <c r="AS92" s="49" t="n"/>
      <c r="AT92" s="49" t="n"/>
      <c r="AU92" s="115" t="n"/>
      <c r="AV92" s="83" t="n"/>
      <c r="AW92" s="49" t="n"/>
      <c r="AX92" s="49" t="n"/>
      <c r="AY92" s="115" t="n"/>
      <c r="AZ92" s="83" t="n"/>
      <c r="BA92" s="49" t="n"/>
      <c r="BB92" s="49" t="n"/>
      <c r="BC92" s="115" t="n"/>
      <c r="BD92" s="110">
        <f>SUM(K92,O92,S92,W92,AA92,AE92,AI92,AM92,AQ92,AU92,AY92,BC92)</f>
        <v/>
      </c>
      <c r="BE92" s="45" t="n"/>
      <c r="BF92" s="113" t="n"/>
      <c r="BG92" s="45" t="n"/>
      <c r="BH92" s="113" t="n"/>
      <c r="BI92" s="45" t="n"/>
      <c r="BJ92" s="113" t="n"/>
      <c r="BK92" s="45" t="n"/>
      <c r="BL92" s="113" t="n"/>
      <c r="BM92" s="45" t="n"/>
      <c r="BN92" s="113" t="n"/>
      <c r="BO92" s="114">
        <f>SUM(BF92,BH92,BJ92,BL92,BN92)</f>
        <v/>
      </c>
      <c r="BP92" s="45" t="n"/>
      <c r="BQ92" s="45" t="n"/>
      <c r="BR92" s="113" t="n"/>
      <c r="BS92" s="45" t="n"/>
      <c r="BT92" s="113" t="n"/>
      <c r="BU92" s="45" t="n"/>
      <c r="BV92" s="113" t="n"/>
      <c r="BW92" s="114">
        <f>SUM(BR92,BT92,BV92)</f>
        <v/>
      </c>
      <c r="BX92" s="45" t="n"/>
      <c r="BY92" s="114">
        <f>BD92 - IF(BP92="Y", 0, BO92) - IF(BX92="Y", 0, BW92)</f>
        <v/>
      </c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</row>
    <row r="93" ht="13.5" customHeight="1">
      <c r="B93" s="47">
        <f>$B$3</f>
        <v/>
      </c>
      <c r="C93" s="48">
        <f>$C$3</f>
        <v/>
      </c>
      <c r="D93" s="40">
        <f>IF(SUM(COUNTIF(H93, "*"), COUNTIF(L93, "*"), COUNTIF(P93, "*"), COUNTIF(T93, "*"), COUNTIF(X93, "*"), COUNTIF(AB93, "*"), COUNTIF(AF93, "*"), COUNTIF(AJ93, "*"), COUNTIF(AN93, "*"), COUNTIF(AR93, "*"), COUNTIF(AV93, "*"), COUNTIF(AZ93, "*"))&gt;0, "Y", "N")</f>
        <v/>
      </c>
      <c r="E93" s="49" t="n"/>
      <c r="F93" s="49" t="n"/>
      <c r="G93" s="59" t="n">
        <v>48580</v>
      </c>
      <c r="H93" s="83" t="n"/>
      <c r="I93" s="49" t="n"/>
      <c r="J93" s="50" t="n"/>
      <c r="K93" s="115" t="n"/>
      <c r="L93" s="83" t="n"/>
      <c r="M93" s="49" t="n"/>
      <c r="N93" s="49" t="n"/>
      <c r="O93" s="115" t="n"/>
      <c r="P93" s="83" t="n"/>
      <c r="Q93" s="49" t="n"/>
      <c r="R93" s="49" t="n"/>
      <c r="S93" s="115" t="n"/>
      <c r="T93" s="83" t="n"/>
      <c r="U93" s="49" t="n"/>
      <c r="V93" s="49" t="n"/>
      <c r="W93" s="116" t="n"/>
      <c r="X93" s="83" t="n"/>
      <c r="Y93" s="49" t="n"/>
      <c r="Z93" s="49" t="n"/>
      <c r="AA93" s="115" t="n"/>
      <c r="AB93" s="83" t="n"/>
      <c r="AC93" s="49" t="n"/>
      <c r="AD93" s="50" t="n"/>
      <c r="AE93" s="115" t="n"/>
      <c r="AF93" s="83" t="n"/>
      <c r="AG93" s="49" t="n"/>
      <c r="AH93" s="49" t="n"/>
      <c r="AI93" s="115" t="n"/>
      <c r="AJ93" s="83" t="n"/>
      <c r="AK93" s="49" t="n"/>
      <c r="AL93" s="49" t="n"/>
      <c r="AM93" s="115" t="n"/>
      <c r="AN93" s="83" t="n"/>
      <c r="AO93" s="49" t="n"/>
      <c r="AP93" s="49" t="n"/>
      <c r="AQ93" s="116" t="n"/>
      <c r="AR93" s="83" t="n"/>
      <c r="AS93" s="49" t="n"/>
      <c r="AT93" s="49" t="n"/>
      <c r="AU93" s="115" t="n"/>
      <c r="AV93" s="83" t="n"/>
      <c r="AW93" s="49" t="n"/>
      <c r="AX93" s="49" t="n"/>
      <c r="AY93" s="115" t="n"/>
      <c r="AZ93" s="83" t="n"/>
      <c r="BA93" s="49" t="n"/>
      <c r="BB93" s="49" t="n"/>
      <c r="BC93" s="115" t="n"/>
      <c r="BD93" s="110">
        <f>SUM(K93,O93,S93,W93,AA93,AE93,AI93,AM93,AQ93,AU93,AY93,BC93)</f>
        <v/>
      </c>
      <c r="BE93" s="45" t="n"/>
      <c r="BF93" s="113" t="n"/>
      <c r="BG93" s="45" t="n"/>
      <c r="BH93" s="113" t="n"/>
      <c r="BI93" s="45" t="n"/>
      <c r="BJ93" s="113" t="n"/>
      <c r="BK93" s="45" t="n"/>
      <c r="BL93" s="113" t="n"/>
      <c r="BM93" s="45" t="n"/>
      <c r="BN93" s="113" t="n"/>
      <c r="BO93" s="114">
        <f>SUM(BF93,BH93,BJ93,BL93,BN93)</f>
        <v/>
      </c>
      <c r="BP93" s="45" t="n"/>
      <c r="BQ93" s="45" t="n"/>
      <c r="BR93" s="113" t="n"/>
      <c r="BS93" s="45" t="n"/>
      <c r="BT93" s="113" t="n"/>
      <c r="BU93" s="45" t="n"/>
      <c r="BV93" s="113" t="n"/>
      <c r="BW93" s="114">
        <f>SUM(BR93,BT93,BV93)</f>
        <v/>
      </c>
      <c r="BX93" s="45" t="n"/>
      <c r="BY93" s="114">
        <f>BD93 - IF(BP93="Y", 0, BO93) - IF(BX93="Y", 0, BW93)</f>
        <v/>
      </c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</row>
    <row r="94" ht="13.5" customHeight="1">
      <c r="B94" s="47">
        <f>$B$3</f>
        <v/>
      </c>
      <c r="C94" s="48">
        <f>$C$3</f>
        <v/>
      </c>
      <c r="D94" s="40">
        <f>IF(SUM(COUNTIF(H94, "*"), COUNTIF(L94, "*"), COUNTIF(P94, "*"), COUNTIF(T94, "*"), COUNTIF(X94, "*"), COUNTIF(AB94, "*"), COUNTIF(AF94, "*"), COUNTIF(AJ94, "*"), COUNTIF(AN94, "*"), COUNTIF(AR94, "*"), COUNTIF(AV94, "*"), COUNTIF(AZ94, "*"))&gt;0, "Y", "N")</f>
        <v/>
      </c>
      <c r="E94" s="49" t="n"/>
      <c r="F94" s="49" t="n"/>
      <c r="G94" s="59" t="n">
        <v>48611</v>
      </c>
      <c r="H94" s="83" t="n"/>
      <c r="I94" s="49" t="n"/>
      <c r="J94" s="50" t="n"/>
      <c r="K94" s="115" t="n"/>
      <c r="L94" s="83" t="n"/>
      <c r="M94" s="49" t="n"/>
      <c r="N94" s="49" t="n"/>
      <c r="O94" s="115" t="n"/>
      <c r="P94" s="83" t="n"/>
      <c r="Q94" s="49" t="n"/>
      <c r="R94" s="49" t="n"/>
      <c r="S94" s="115" t="n"/>
      <c r="T94" s="83" t="n"/>
      <c r="U94" s="49" t="n"/>
      <c r="V94" s="49" t="n"/>
      <c r="W94" s="116" t="n"/>
      <c r="X94" s="83" t="n"/>
      <c r="Y94" s="49" t="n"/>
      <c r="Z94" s="49" t="n"/>
      <c r="AA94" s="115" t="n"/>
      <c r="AB94" s="83" t="n"/>
      <c r="AC94" s="49" t="n"/>
      <c r="AD94" s="50" t="n"/>
      <c r="AE94" s="115" t="n"/>
      <c r="AF94" s="83" t="n"/>
      <c r="AG94" s="49" t="n"/>
      <c r="AH94" s="49" t="n"/>
      <c r="AI94" s="115" t="n"/>
      <c r="AJ94" s="83" t="n"/>
      <c r="AK94" s="49" t="n"/>
      <c r="AL94" s="49" t="n"/>
      <c r="AM94" s="115" t="n"/>
      <c r="AN94" s="83" t="n"/>
      <c r="AO94" s="49" t="n"/>
      <c r="AP94" s="49" t="n"/>
      <c r="AQ94" s="116" t="n"/>
      <c r="AR94" s="83" t="n"/>
      <c r="AS94" s="49" t="n"/>
      <c r="AT94" s="49" t="n"/>
      <c r="AU94" s="115" t="n"/>
      <c r="AV94" s="83" t="n"/>
      <c r="AW94" s="49" t="n"/>
      <c r="AX94" s="49" t="n"/>
      <c r="AY94" s="115" t="n"/>
      <c r="AZ94" s="83" t="n"/>
      <c r="BA94" s="49" t="n"/>
      <c r="BB94" s="49" t="n"/>
      <c r="BC94" s="115" t="n"/>
      <c r="BD94" s="110">
        <f>SUM(K94,O94,S94,W94,AA94,AE94,AI94,AM94,AQ94,AU94,AY94,BC94)</f>
        <v/>
      </c>
      <c r="BE94" s="45" t="n"/>
      <c r="BF94" s="113" t="n"/>
      <c r="BG94" s="45" t="n"/>
      <c r="BH94" s="113" t="n"/>
      <c r="BI94" s="45" t="n"/>
      <c r="BJ94" s="113" t="n"/>
      <c r="BK94" s="45" t="n"/>
      <c r="BL94" s="113" t="n"/>
      <c r="BM94" s="45" t="n"/>
      <c r="BN94" s="113" t="n"/>
      <c r="BO94" s="114">
        <f>SUM(BF94,BH94,BJ94,BL94,BN94)</f>
        <v/>
      </c>
      <c r="BP94" s="45" t="n"/>
      <c r="BQ94" s="45" t="n"/>
      <c r="BR94" s="113" t="n"/>
      <c r="BS94" s="45" t="n"/>
      <c r="BT94" s="113" t="n"/>
      <c r="BU94" s="45" t="n"/>
      <c r="BV94" s="113" t="n"/>
      <c r="BW94" s="114">
        <f>SUM(BR94,BT94,BV94)</f>
        <v/>
      </c>
      <c r="BX94" s="45" t="n"/>
      <c r="BY94" s="114">
        <f>BD94 - IF(BP94="Y", 0, BO94) - IF(BX94="Y", 0, BW94)</f>
        <v/>
      </c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</row>
    <row r="95" ht="13.5" customHeight="1">
      <c r="B95" s="47">
        <f>$B$3</f>
        <v/>
      </c>
      <c r="C95" s="48">
        <f>$C$3</f>
        <v/>
      </c>
      <c r="D95" s="40">
        <f>IF(SUM(COUNTIF(H95, "*"), COUNTIF(L95, "*"), COUNTIF(P95, "*"), COUNTIF(T95, "*"), COUNTIF(X95, "*"), COUNTIF(AB95, "*"), COUNTIF(AF95, "*"), COUNTIF(AJ95, "*"), COUNTIF(AN95, "*"), COUNTIF(AR95, "*"), COUNTIF(AV95, "*"), COUNTIF(AZ95, "*"))&gt;0, "Y", "N")</f>
        <v/>
      </c>
      <c r="E95" s="49" t="n"/>
      <c r="F95" s="49" t="n"/>
      <c r="G95" s="59" t="n">
        <v>48639</v>
      </c>
      <c r="H95" s="83" t="n"/>
      <c r="I95" s="49" t="n"/>
      <c r="J95" s="50" t="n"/>
      <c r="K95" s="115" t="n"/>
      <c r="L95" s="83" t="n"/>
      <c r="M95" s="49" t="n"/>
      <c r="N95" s="49" t="n"/>
      <c r="O95" s="115" t="n"/>
      <c r="P95" s="83" t="n"/>
      <c r="Q95" s="49" t="n"/>
      <c r="R95" s="49" t="n"/>
      <c r="S95" s="115" t="n"/>
      <c r="T95" s="83" t="n"/>
      <c r="U95" s="49" t="n"/>
      <c r="V95" s="49" t="n"/>
      <c r="W95" s="116" t="n"/>
      <c r="X95" s="83" t="n"/>
      <c r="Y95" s="49" t="n"/>
      <c r="Z95" s="49" t="n"/>
      <c r="AA95" s="115" t="n"/>
      <c r="AB95" s="83" t="n"/>
      <c r="AC95" s="49" t="n"/>
      <c r="AD95" s="50" t="n"/>
      <c r="AE95" s="115" t="n"/>
      <c r="AF95" s="83" t="n"/>
      <c r="AG95" s="49" t="n"/>
      <c r="AH95" s="49" t="n"/>
      <c r="AI95" s="115" t="n"/>
      <c r="AJ95" s="83" t="n"/>
      <c r="AK95" s="49" t="n"/>
      <c r="AL95" s="49" t="n"/>
      <c r="AM95" s="115" t="n"/>
      <c r="AN95" s="83" t="n"/>
      <c r="AO95" s="49" t="n"/>
      <c r="AP95" s="49" t="n"/>
      <c r="AQ95" s="116" t="n"/>
      <c r="AR95" s="83" t="n"/>
      <c r="AS95" s="49" t="n"/>
      <c r="AT95" s="49" t="n"/>
      <c r="AU95" s="115" t="n"/>
      <c r="AV95" s="83" t="n"/>
      <c r="AW95" s="49" t="n"/>
      <c r="AX95" s="49" t="n"/>
      <c r="AY95" s="115" t="n"/>
      <c r="AZ95" s="83" t="n"/>
      <c r="BA95" s="49" t="n"/>
      <c r="BB95" s="49" t="n"/>
      <c r="BC95" s="115" t="n"/>
      <c r="BD95" s="110">
        <f>SUM(K95,O95,S95,W95,AA95,AE95,AI95,AM95,AQ95,AU95,AY95,BC95)</f>
        <v/>
      </c>
      <c r="BE95" s="45" t="n"/>
      <c r="BF95" s="113" t="n"/>
      <c r="BG95" s="45" t="n"/>
      <c r="BH95" s="113" t="n"/>
      <c r="BI95" s="45" t="n"/>
      <c r="BJ95" s="113" t="n"/>
      <c r="BK95" s="45" t="n"/>
      <c r="BL95" s="113" t="n"/>
      <c r="BM95" s="45" t="n"/>
      <c r="BN95" s="113" t="n"/>
      <c r="BO95" s="114">
        <f>SUM(BF95,BH95,BJ95,BL95,BN95)</f>
        <v/>
      </c>
      <c r="BP95" s="45" t="n"/>
      <c r="BQ95" s="45" t="n"/>
      <c r="BR95" s="113" t="n"/>
      <c r="BS95" s="45" t="n"/>
      <c r="BT95" s="113" t="n"/>
      <c r="BU95" s="45" t="n"/>
      <c r="BV95" s="113" t="n"/>
      <c r="BW95" s="114">
        <f>SUM(BR95,BT95,BV95)</f>
        <v/>
      </c>
      <c r="BX95" s="45" t="n"/>
      <c r="BY95" s="114">
        <f>BD95 - IF(BP95="Y", 0, BO95) - IF(BX95="Y", 0, BW95)</f>
        <v/>
      </c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</row>
    <row r="96" ht="13.5" customHeight="1">
      <c r="B96" s="47">
        <f>$B$3</f>
        <v/>
      </c>
      <c r="C96" s="48">
        <f>$C$3</f>
        <v/>
      </c>
      <c r="D96" s="40">
        <f>IF(SUM(COUNTIF(H96, "*"), COUNTIF(L96, "*"), COUNTIF(P96, "*"), COUNTIF(T96, "*"), COUNTIF(X96, "*"), COUNTIF(AB96, "*"), COUNTIF(AF96, "*"), COUNTIF(AJ96, "*"), COUNTIF(AN96, "*"), COUNTIF(AR96, "*"), COUNTIF(AV96, "*"), COUNTIF(AZ96, "*"))&gt;0, "Y", "N")</f>
        <v/>
      </c>
      <c r="E96" s="49" t="n"/>
      <c r="F96" s="49" t="n"/>
      <c r="G96" s="59" t="n">
        <v>48670</v>
      </c>
      <c r="H96" s="83" t="n"/>
      <c r="I96" s="49" t="n"/>
      <c r="J96" s="50" t="n"/>
      <c r="K96" s="115" t="n"/>
      <c r="L96" s="83" t="n"/>
      <c r="M96" s="49" t="n"/>
      <c r="N96" s="49" t="n"/>
      <c r="O96" s="115" t="n"/>
      <c r="P96" s="83" t="n"/>
      <c r="Q96" s="49" t="n"/>
      <c r="R96" s="49" t="n"/>
      <c r="S96" s="115" t="n"/>
      <c r="T96" s="83" t="n"/>
      <c r="U96" s="49" t="n"/>
      <c r="V96" s="49" t="n"/>
      <c r="W96" s="116" t="n"/>
      <c r="X96" s="83" t="n"/>
      <c r="Y96" s="49" t="n"/>
      <c r="Z96" s="49" t="n"/>
      <c r="AA96" s="115" t="n"/>
      <c r="AB96" s="83" t="n"/>
      <c r="AC96" s="49" t="n"/>
      <c r="AD96" s="50" t="n"/>
      <c r="AE96" s="115" t="n"/>
      <c r="AF96" s="83" t="n"/>
      <c r="AG96" s="49" t="n"/>
      <c r="AH96" s="49" t="n"/>
      <c r="AI96" s="115" t="n"/>
      <c r="AJ96" s="83" t="n"/>
      <c r="AK96" s="49" t="n"/>
      <c r="AL96" s="49" t="n"/>
      <c r="AM96" s="115" t="n"/>
      <c r="AN96" s="83" t="n"/>
      <c r="AO96" s="49" t="n"/>
      <c r="AP96" s="49" t="n"/>
      <c r="AQ96" s="116" t="n"/>
      <c r="AR96" s="83" t="n"/>
      <c r="AS96" s="49" t="n"/>
      <c r="AT96" s="49" t="n"/>
      <c r="AU96" s="115" t="n"/>
      <c r="AV96" s="83" t="n"/>
      <c r="AW96" s="49" t="n"/>
      <c r="AX96" s="49" t="n"/>
      <c r="AY96" s="115" t="n"/>
      <c r="AZ96" s="83" t="n"/>
      <c r="BA96" s="49" t="n"/>
      <c r="BB96" s="49" t="n"/>
      <c r="BC96" s="115" t="n"/>
      <c r="BD96" s="110">
        <f>SUM(K96,O96,S96,W96,AA96,AE96,AI96,AM96,AQ96,AU96,AY96,BC96)</f>
        <v/>
      </c>
      <c r="BE96" s="45" t="n"/>
      <c r="BF96" s="113" t="n"/>
      <c r="BG96" s="45" t="n"/>
      <c r="BH96" s="113" t="n"/>
      <c r="BI96" s="45" t="n"/>
      <c r="BJ96" s="113" t="n"/>
      <c r="BK96" s="45" t="n"/>
      <c r="BL96" s="113" t="n"/>
      <c r="BM96" s="45" t="n"/>
      <c r="BN96" s="113" t="n"/>
      <c r="BO96" s="114">
        <f>SUM(BF96,BH96,BJ96,BL96,BN96)</f>
        <v/>
      </c>
      <c r="BP96" s="45" t="n"/>
      <c r="BQ96" s="45" t="n"/>
      <c r="BR96" s="113" t="n"/>
      <c r="BS96" s="45" t="n"/>
      <c r="BT96" s="113" t="n"/>
      <c r="BU96" s="45" t="n"/>
      <c r="BV96" s="113" t="n"/>
      <c r="BW96" s="114">
        <f>SUM(BR96,BT96,BV96)</f>
        <v/>
      </c>
      <c r="BX96" s="45" t="n"/>
      <c r="BY96" s="114">
        <f>BD96 - IF(BP96="Y", 0, BO96) - IF(BX96="Y", 0, BW96)</f>
        <v/>
      </c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</row>
    <row r="97" ht="13.5" customHeight="1">
      <c r="B97" s="47">
        <f>$B$3</f>
        <v/>
      </c>
      <c r="C97" s="48">
        <f>$C$3</f>
        <v/>
      </c>
      <c r="D97" s="40">
        <f>IF(SUM(COUNTIF(H97, "*"), COUNTIF(L97, "*"), COUNTIF(P97, "*"), COUNTIF(T97, "*"), COUNTIF(X97, "*"), COUNTIF(AB97, "*"), COUNTIF(AF97, "*"), COUNTIF(AJ97, "*"), COUNTIF(AN97, "*"), COUNTIF(AR97, "*"), COUNTIF(AV97, "*"), COUNTIF(AZ97, "*"))&gt;0, "Y", "N")</f>
        <v/>
      </c>
      <c r="E97" s="49" t="n"/>
      <c r="F97" s="49" t="n"/>
      <c r="G97" s="59" t="n">
        <v>48700</v>
      </c>
      <c r="H97" s="83" t="n"/>
      <c r="I97" s="49" t="n"/>
      <c r="J97" s="50" t="n"/>
      <c r="K97" s="115" t="n"/>
      <c r="L97" s="83" t="n"/>
      <c r="M97" s="49" t="n"/>
      <c r="N97" s="49" t="n"/>
      <c r="O97" s="115" t="n"/>
      <c r="P97" s="83" t="n"/>
      <c r="Q97" s="49" t="n"/>
      <c r="R97" s="49" t="n"/>
      <c r="S97" s="115" t="n"/>
      <c r="T97" s="83" t="n"/>
      <c r="U97" s="49" t="n"/>
      <c r="V97" s="49" t="n"/>
      <c r="W97" s="116" t="n"/>
      <c r="X97" s="83" t="n"/>
      <c r="Y97" s="49" t="n"/>
      <c r="Z97" s="49" t="n"/>
      <c r="AA97" s="115" t="n"/>
      <c r="AB97" s="83" t="n"/>
      <c r="AC97" s="49" t="n"/>
      <c r="AD97" s="50" t="n"/>
      <c r="AE97" s="115" t="n"/>
      <c r="AF97" s="83" t="n"/>
      <c r="AG97" s="49" t="n"/>
      <c r="AH97" s="49" t="n"/>
      <c r="AI97" s="115" t="n"/>
      <c r="AJ97" s="83" t="n"/>
      <c r="AK97" s="49" t="n"/>
      <c r="AL97" s="49" t="n"/>
      <c r="AM97" s="115" t="n"/>
      <c r="AN97" s="83" t="n"/>
      <c r="AO97" s="49" t="n"/>
      <c r="AP97" s="49" t="n"/>
      <c r="AQ97" s="116" t="n"/>
      <c r="AR97" s="83" t="n"/>
      <c r="AS97" s="49" t="n"/>
      <c r="AT97" s="49" t="n"/>
      <c r="AU97" s="115" t="n"/>
      <c r="AV97" s="83" t="n"/>
      <c r="AW97" s="49" t="n"/>
      <c r="AX97" s="49" t="n"/>
      <c r="AY97" s="115" t="n"/>
      <c r="AZ97" s="83" t="n"/>
      <c r="BA97" s="49" t="n"/>
      <c r="BB97" s="49" t="n"/>
      <c r="BC97" s="115" t="n"/>
      <c r="BD97" s="110">
        <f>SUM(K97,O97,S97,W97,AA97,AE97,AI97,AM97,AQ97,AU97,AY97,BC97)</f>
        <v/>
      </c>
      <c r="BE97" s="45" t="n"/>
      <c r="BF97" s="113" t="n"/>
      <c r="BG97" s="45" t="n"/>
      <c r="BH97" s="113" t="n"/>
      <c r="BI97" s="45" t="n"/>
      <c r="BJ97" s="113" t="n"/>
      <c r="BK97" s="45" t="n"/>
      <c r="BL97" s="113" t="n"/>
      <c r="BM97" s="45" t="n"/>
      <c r="BN97" s="113" t="n"/>
      <c r="BO97" s="114">
        <f>SUM(BF97,BH97,BJ97,BL97,BN97)</f>
        <v/>
      </c>
      <c r="BP97" s="45" t="n"/>
      <c r="BQ97" s="45" t="n"/>
      <c r="BR97" s="113" t="n"/>
      <c r="BS97" s="45" t="n"/>
      <c r="BT97" s="113" t="n"/>
      <c r="BU97" s="45" t="n"/>
      <c r="BV97" s="113" t="n"/>
      <c r="BW97" s="114">
        <f>SUM(BR97,BT97,BV97)</f>
        <v/>
      </c>
      <c r="BX97" s="45" t="n"/>
      <c r="BY97" s="114">
        <f>BD97 - IF(BP97="Y", 0, BO97) - IF(BX97="Y", 0, BW97)</f>
        <v/>
      </c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</row>
    <row r="98" ht="13.5" customHeight="1">
      <c r="B98" s="47">
        <f>$B$3</f>
        <v/>
      </c>
      <c r="C98" s="48">
        <f>$C$3</f>
        <v/>
      </c>
      <c r="D98" s="40">
        <f>IF(SUM(COUNTIF(H98, "*"), COUNTIF(L98, "*"), COUNTIF(P98, "*"), COUNTIF(T98, "*"), COUNTIF(X98, "*"), COUNTIF(AB98, "*"), COUNTIF(AF98, "*"), COUNTIF(AJ98, "*"), COUNTIF(AN98, "*"), COUNTIF(AR98, "*"), COUNTIF(AV98, "*"), COUNTIF(AZ98, "*"))&gt;0, "Y", "N")</f>
        <v/>
      </c>
      <c r="E98" s="49" t="n"/>
      <c r="F98" s="49" t="n"/>
      <c r="G98" s="59" t="n">
        <v>48731</v>
      </c>
      <c r="H98" s="83" t="n"/>
      <c r="I98" s="49" t="n"/>
      <c r="J98" s="50" t="n"/>
      <c r="K98" s="115" t="n"/>
      <c r="L98" s="83" t="n"/>
      <c r="M98" s="49" t="n"/>
      <c r="N98" s="49" t="n"/>
      <c r="O98" s="115" t="n"/>
      <c r="P98" s="83" t="n"/>
      <c r="Q98" s="49" t="n"/>
      <c r="R98" s="49" t="n"/>
      <c r="S98" s="115" t="n"/>
      <c r="T98" s="83" t="n"/>
      <c r="U98" s="49" t="n"/>
      <c r="V98" s="49" t="n"/>
      <c r="W98" s="116" t="n"/>
      <c r="X98" s="83" t="n"/>
      <c r="Y98" s="49" t="n"/>
      <c r="Z98" s="49" t="n"/>
      <c r="AA98" s="115" t="n"/>
      <c r="AB98" s="83" t="n"/>
      <c r="AC98" s="49" t="n"/>
      <c r="AD98" s="49" t="n"/>
      <c r="AE98" s="115" t="n"/>
      <c r="AF98" s="83" t="n"/>
      <c r="AG98" s="49" t="n"/>
      <c r="AH98" s="49" t="n"/>
      <c r="AI98" s="115" t="n"/>
      <c r="AJ98" s="83" t="n"/>
      <c r="AK98" s="49" t="n"/>
      <c r="AL98" s="49" t="n"/>
      <c r="AM98" s="115" t="n"/>
      <c r="AN98" s="83" t="n"/>
      <c r="AO98" s="49" t="n"/>
      <c r="AP98" s="49" t="n"/>
      <c r="AQ98" s="117" t="n"/>
      <c r="AR98" s="83" t="n"/>
      <c r="AS98" s="49" t="n"/>
      <c r="AT98" s="49" t="n"/>
      <c r="AU98" s="115" t="n"/>
      <c r="AV98" s="83" t="n"/>
      <c r="AW98" s="49" t="n"/>
      <c r="AX98" s="49" t="n"/>
      <c r="AY98" s="115" t="n"/>
      <c r="AZ98" s="83" t="n"/>
      <c r="BA98" s="49" t="n"/>
      <c r="BB98" s="49" t="n"/>
      <c r="BC98" s="115" t="n"/>
      <c r="BD98" s="110">
        <f>SUM(K98,O98,S98,W98,AA98,AE98,AI98,AM98,AQ98,AU98,AY98,BC98)</f>
        <v/>
      </c>
      <c r="BE98" s="45" t="n"/>
      <c r="BF98" s="113" t="n"/>
      <c r="BG98" s="45" t="n"/>
      <c r="BH98" s="113" t="n"/>
      <c r="BI98" s="45" t="n"/>
      <c r="BJ98" s="113" t="n"/>
      <c r="BK98" s="45" t="n"/>
      <c r="BL98" s="113" t="n"/>
      <c r="BM98" s="45" t="n"/>
      <c r="BN98" s="113" t="n"/>
      <c r="BO98" s="114">
        <f>SUM(BF98,BH98,BJ98,BL98,BN98)</f>
        <v/>
      </c>
      <c r="BP98" s="45" t="n"/>
      <c r="BQ98" s="45" t="n"/>
      <c r="BR98" s="113" t="n"/>
      <c r="BS98" s="45" t="n"/>
      <c r="BT98" s="113" t="n"/>
      <c r="BU98" s="45" t="n"/>
      <c r="BV98" s="113" t="n"/>
      <c r="BW98" s="114">
        <f>SUM(BR98,BT98,BV98)</f>
        <v/>
      </c>
      <c r="BX98" s="45" t="n"/>
      <c r="BY98" s="114">
        <f>BD98 - IF(BP98="Y", 0, BO98) - IF(BX98="Y", 0, BW98)</f>
        <v/>
      </c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</row>
    <row r="99" ht="13.5" customHeight="1">
      <c r="B99" s="47">
        <f>$B$3</f>
        <v/>
      </c>
      <c r="C99" s="48">
        <f>$C$3</f>
        <v/>
      </c>
      <c r="D99" s="40">
        <f>IF(SUM(COUNTIF(H99, "*"), COUNTIF(L99, "*"), COUNTIF(P99, "*"), COUNTIF(T99, "*"), COUNTIF(X99, "*"), COUNTIF(AB99, "*"), COUNTIF(AF99, "*"), COUNTIF(AJ99, "*"), COUNTIF(AN99, "*"), COUNTIF(AR99, "*"), COUNTIF(AV99, "*"), COUNTIF(AZ99, "*"))&gt;0, "Y", "N")</f>
        <v/>
      </c>
      <c r="E99" s="49" t="n"/>
      <c r="F99" s="49" t="n"/>
      <c r="G99" s="59" t="n">
        <v>48761</v>
      </c>
      <c r="H99" s="83" t="n"/>
      <c r="I99" s="49" t="n"/>
      <c r="J99" s="50" t="n"/>
      <c r="K99" s="115" t="n"/>
      <c r="L99" s="83" t="n"/>
      <c r="M99" s="49" t="n"/>
      <c r="N99" s="49" t="n"/>
      <c r="O99" s="115" t="n"/>
      <c r="P99" s="83" t="n"/>
      <c r="Q99" s="49" t="n"/>
      <c r="R99" s="49" t="n"/>
      <c r="S99" s="115" t="n"/>
      <c r="T99" s="83" t="n"/>
      <c r="U99" s="49" t="n"/>
      <c r="V99" s="49" t="n"/>
      <c r="W99" s="116" t="n"/>
      <c r="X99" s="83" t="n"/>
      <c r="Y99" s="49" t="n"/>
      <c r="Z99" s="49" t="n"/>
      <c r="AA99" s="115" t="n"/>
      <c r="AB99" s="83" t="n"/>
      <c r="AC99" s="49" t="n"/>
      <c r="AD99" s="49" t="n"/>
      <c r="AE99" s="115" t="n"/>
      <c r="AF99" s="83" t="n"/>
      <c r="AG99" s="49" t="n"/>
      <c r="AH99" s="49" t="n"/>
      <c r="AI99" s="115" t="n"/>
      <c r="AJ99" s="83" t="n"/>
      <c r="AK99" s="49" t="n"/>
      <c r="AL99" s="49" t="n"/>
      <c r="AM99" s="115" t="n"/>
      <c r="AN99" s="83" t="n"/>
      <c r="AO99" s="49" t="n"/>
      <c r="AP99" s="49" t="n"/>
      <c r="AQ99" s="117" t="n"/>
      <c r="AR99" s="83" t="n"/>
      <c r="AS99" s="49" t="n"/>
      <c r="AT99" s="49" t="n"/>
      <c r="AU99" s="115" t="n"/>
      <c r="AV99" s="83" t="n"/>
      <c r="AW99" s="49" t="n"/>
      <c r="AX99" s="49" t="n"/>
      <c r="AY99" s="115" t="n"/>
      <c r="AZ99" s="83" t="n"/>
      <c r="BA99" s="49" t="n"/>
      <c r="BB99" s="49" t="n"/>
      <c r="BC99" s="115" t="n"/>
      <c r="BD99" s="110">
        <f>SUM(K99,O99,S99,W99,AA99,AE99,AI99,AM99,AQ99,AU99,AY99,BC99)</f>
        <v/>
      </c>
      <c r="BE99" s="45" t="n"/>
      <c r="BF99" s="113" t="n"/>
      <c r="BG99" s="45" t="n"/>
      <c r="BH99" s="113" t="n"/>
      <c r="BI99" s="45" t="n"/>
      <c r="BJ99" s="113" t="n"/>
      <c r="BK99" s="45" t="n"/>
      <c r="BL99" s="113" t="n"/>
      <c r="BM99" s="45" t="n"/>
      <c r="BN99" s="113" t="n"/>
      <c r="BO99" s="114">
        <f>SUM(BF99,BH99,BJ99,BL99,BN99)</f>
        <v/>
      </c>
      <c r="BP99" s="45" t="n"/>
      <c r="BQ99" s="45" t="n"/>
      <c r="BR99" s="113" t="n"/>
      <c r="BS99" s="45" t="n"/>
      <c r="BT99" s="113" t="n"/>
      <c r="BU99" s="45" t="n"/>
      <c r="BV99" s="113" t="n"/>
      <c r="BW99" s="114">
        <f>SUM(BR99,BT99,BV99)</f>
        <v/>
      </c>
      <c r="BX99" s="45" t="n"/>
      <c r="BY99" s="114">
        <f>BD99 - IF(BP99="Y", 0, BO99) - IF(BX99="Y", 0, BW99)</f>
        <v/>
      </c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</row>
    <row r="100" ht="13.5" customHeight="1">
      <c r="B100" s="47">
        <f>$B$3</f>
        <v/>
      </c>
      <c r="C100" s="48">
        <f>$C$3</f>
        <v/>
      </c>
      <c r="D100" s="40">
        <f>IF(SUM(COUNTIF(H100, "*"), COUNTIF(L100, "*"), COUNTIF(P100, "*"), COUNTIF(T100, "*"), COUNTIF(X100, "*"), COUNTIF(AB100, "*"), COUNTIF(AF100, "*"), COUNTIF(AJ100, "*"), COUNTIF(AN100, "*"), COUNTIF(AR100, "*"), COUNTIF(AV100, "*"), COUNTIF(AZ100, "*"))&gt;0, "Y", "N")</f>
        <v/>
      </c>
      <c r="E100" s="49" t="n"/>
      <c r="F100" s="49" t="n"/>
      <c r="G100" s="59" t="n">
        <v>48792</v>
      </c>
      <c r="H100" s="83" t="n"/>
      <c r="I100" s="49" t="n"/>
      <c r="J100" s="50" t="n"/>
      <c r="K100" s="115" t="n"/>
      <c r="L100" s="83" t="n"/>
      <c r="M100" s="49" t="n"/>
      <c r="N100" s="49" t="n"/>
      <c r="O100" s="115" t="n"/>
      <c r="P100" s="83" t="n"/>
      <c r="Q100" s="49" t="n"/>
      <c r="R100" s="49" t="n"/>
      <c r="S100" s="115" t="n"/>
      <c r="T100" s="83" t="n"/>
      <c r="U100" s="49" t="n"/>
      <c r="V100" s="49" t="n"/>
      <c r="W100" s="116" t="n"/>
      <c r="X100" s="83" t="n"/>
      <c r="Y100" s="49" t="n"/>
      <c r="Z100" s="49" t="n"/>
      <c r="AA100" s="115" t="n"/>
      <c r="AB100" s="83" t="n"/>
      <c r="AC100" s="49" t="n"/>
      <c r="AD100" s="49" t="n"/>
      <c r="AE100" s="115" t="n"/>
      <c r="AF100" s="83" t="n"/>
      <c r="AG100" s="49" t="n"/>
      <c r="AH100" s="49" t="n"/>
      <c r="AI100" s="115" t="n"/>
      <c r="AJ100" s="83" t="n"/>
      <c r="AK100" s="49" t="n"/>
      <c r="AL100" s="49" t="n"/>
      <c r="AM100" s="115" t="n"/>
      <c r="AN100" s="83" t="n"/>
      <c r="AO100" s="49" t="n"/>
      <c r="AP100" s="49" t="n"/>
      <c r="AQ100" s="117" t="n"/>
      <c r="AR100" s="83" t="n"/>
      <c r="AS100" s="49" t="n"/>
      <c r="AT100" s="49" t="n"/>
      <c r="AU100" s="115" t="n"/>
      <c r="AV100" s="83" t="n"/>
      <c r="AW100" s="49" t="n"/>
      <c r="AX100" s="49" t="n"/>
      <c r="AY100" s="115" t="n"/>
      <c r="AZ100" s="83" t="n"/>
      <c r="BA100" s="49" t="n"/>
      <c r="BB100" s="49" t="n"/>
      <c r="BC100" s="115" t="n"/>
      <c r="BD100" s="110">
        <f>SUM(K100,O100,S100,W100,AA100,AE100,AI100,AM100,AQ100,AU100,AY100,BC100)</f>
        <v/>
      </c>
      <c r="BE100" s="45" t="n"/>
      <c r="BF100" s="113" t="n"/>
      <c r="BG100" s="45" t="n"/>
      <c r="BH100" s="113" t="n"/>
      <c r="BI100" s="45" t="n"/>
      <c r="BJ100" s="113" t="n"/>
      <c r="BK100" s="45" t="n"/>
      <c r="BL100" s="113" t="n"/>
      <c r="BM100" s="45" t="n"/>
      <c r="BN100" s="113" t="n"/>
      <c r="BO100" s="114">
        <f>SUM(BF100,BH100,BJ100,BL100,BN100)</f>
        <v/>
      </c>
      <c r="BP100" s="45" t="n"/>
      <c r="BQ100" s="45" t="n"/>
      <c r="BR100" s="113" t="n"/>
      <c r="BS100" s="45" t="n"/>
      <c r="BT100" s="113" t="n"/>
      <c r="BU100" s="45" t="n"/>
      <c r="BV100" s="113" t="n"/>
      <c r="BW100" s="114">
        <f>SUM(BR100,BT100,BV100)</f>
        <v/>
      </c>
      <c r="BX100" s="45" t="n"/>
      <c r="BY100" s="114">
        <f>BD100 - IF(BP100="Y", 0, BO100) - IF(BX100="Y", 0, BW100)</f>
        <v/>
      </c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</row>
    <row r="101" ht="13.5" customHeight="1">
      <c r="B101" s="47">
        <f>$B$3</f>
        <v/>
      </c>
      <c r="C101" s="48">
        <f>$C$3</f>
        <v/>
      </c>
      <c r="D101" s="40">
        <f>IF(SUM(COUNTIF(H101, "*"), COUNTIF(L101, "*"), COUNTIF(P101, "*"), COUNTIF(T101, "*"), COUNTIF(X101, "*"), COUNTIF(AB101, "*"), COUNTIF(AF101, "*"), COUNTIF(AJ101, "*"), COUNTIF(AN101, "*"), COUNTIF(AR101, "*"), COUNTIF(AV101, "*"), COUNTIF(AZ101, "*"))&gt;0, "Y", "N")</f>
        <v/>
      </c>
      <c r="E101" s="49" t="n"/>
      <c r="F101" s="49" t="n"/>
      <c r="G101" s="59" t="n">
        <v>48823</v>
      </c>
      <c r="H101" s="83" t="n"/>
      <c r="I101" s="49" t="n"/>
      <c r="J101" s="50" t="n"/>
      <c r="K101" s="115" t="n"/>
      <c r="L101" s="83" t="n"/>
      <c r="M101" s="49" t="n"/>
      <c r="N101" s="49" t="n"/>
      <c r="O101" s="115" t="n"/>
      <c r="P101" s="83" t="n"/>
      <c r="Q101" s="49" t="n"/>
      <c r="R101" s="49" t="n"/>
      <c r="S101" s="115" t="n"/>
      <c r="T101" s="83" t="n"/>
      <c r="U101" s="49" t="n"/>
      <c r="V101" s="49" t="n"/>
      <c r="W101" s="116" t="n"/>
      <c r="X101" s="83" t="n"/>
      <c r="Y101" s="49" t="n"/>
      <c r="Z101" s="49" t="n"/>
      <c r="AA101" s="115" t="n"/>
      <c r="AB101" s="83" t="n"/>
      <c r="AC101" s="49" t="n"/>
      <c r="AD101" s="49" t="n"/>
      <c r="AE101" s="115" t="n"/>
      <c r="AF101" s="83" t="n"/>
      <c r="AG101" s="49" t="n"/>
      <c r="AH101" s="49" t="n"/>
      <c r="AI101" s="115" t="n"/>
      <c r="AJ101" s="83" t="n"/>
      <c r="AK101" s="49" t="n"/>
      <c r="AL101" s="49" t="n"/>
      <c r="AM101" s="115" t="n"/>
      <c r="AN101" s="83" t="n"/>
      <c r="AO101" s="49" t="n"/>
      <c r="AP101" s="49" t="n"/>
      <c r="AQ101" s="117" t="n"/>
      <c r="AR101" s="83" t="n"/>
      <c r="AS101" s="49" t="n"/>
      <c r="AT101" s="49" t="n"/>
      <c r="AU101" s="115" t="n"/>
      <c r="AV101" s="83" t="n"/>
      <c r="AW101" s="49" t="n"/>
      <c r="AX101" s="49" t="n"/>
      <c r="AY101" s="115" t="n"/>
      <c r="AZ101" s="83" t="n"/>
      <c r="BA101" s="49" t="n"/>
      <c r="BB101" s="49" t="n"/>
      <c r="BC101" s="115" t="n"/>
      <c r="BD101" s="110">
        <f>SUM(K101,O101,S101,W101,AA101,AE101,AI101,AM101,AQ101,AU101,AY101,BC101)</f>
        <v/>
      </c>
      <c r="BE101" s="45" t="n"/>
      <c r="BF101" s="113" t="n"/>
      <c r="BG101" s="45" t="n"/>
      <c r="BH101" s="113" t="n"/>
      <c r="BI101" s="45" t="n"/>
      <c r="BJ101" s="113" t="n"/>
      <c r="BK101" s="45" t="n"/>
      <c r="BL101" s="113" t="n"/>
      <c r="BM101" s="45" t="n"/>
      <c r="BN101" s="113" t="n"/>
      <c r="BO101" s="114">
        <f>SUM(BF101,BH101,BJ101,BL101,BN101)</f>
        <v/>
      </c>
      <c r="BP101" s="45" t="n"/>
      <c r="BQ101" s="45" t="n"/>
      <c r="BR101" s="113" t="n"/>
      <c r="BS101" s="45" t="n"/>
      <c r="BT101" s="113" t="n"/>
      <c r="BU101" s="45" t="n"/>
      <c r="BV101" s="113" t="n"/>
      <c r="BW101" s="114">
        <f>SUM(BR101,BT101,BV101)</f>
        <v/>
      </c>
      <c r="BX101" s="45" t="n"/>
      <c r="BY101" s="114">
        <f>BD101 - IF(BP101="Y", 0, BO101) - IF(BX101="Y", 0, BW101)</f>
        <v/>
      </c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</row>
    <row r="102" ht="13.5" customHeight="1">
      <c r="B102" s="47">
        <f>$B$3</f>
        <v/>
      </c>
      <c r="C102" s="48">
        <f>$C$3</f>
        <v/>
      </c>
      <c r="D102" s="40">
        <f>IF(SUM(COUNTIF(H102, "*"), COUNTIF(L102, "*"), COUNTIF(P102, "*"), COUNTIF(T102, "*"), COUNTIF(X102, "*"), COUNTIF(AB102, "*"), COUNTIF(AF102, "*"), COUNTIF(AJ102, "*"), COUNTIF(AN102, "*"), COUNTIF(AR102, "*"), COUNTIF(AV102, "*"), COUNTIF(AZ102, "*"))&gt;0, "Y", "N")</f>
        <v/>
      </c>
      <c r="E102" s="49" t="n"/>
      <c r="F102" s="49" t="n"/>
      <c r="G102" s="59" t="n">
        <v>48853</v>
      </c>
      <c r="H102" s="83" t="n"/>
      <c r="I102" s="49" t="n"/>
      <c r="J102" s="50" t="n"/>
      <c r="K102" s="115" t="n"/>
      <c r="L102" s="83" t="n"/>
      <c r="M102" s="49" t="n"/>
      <c r="N102" s="49" t="n"/>
      <c r="O102" s="115" t="n"/>
      <c r="P102" s="83" t="n"/>
      <c r="Q102" s="49" t="n"/>
      <c r="R102" s="49" t="n"/>
      <c r="S102" s="115" t="n"/>
      <c r="T102" s="83" t="n"/>
      <c r="U102" s="49" t="n"/>
      <c r="V102" s="49" t="n"/>
      <c r="W102" s="116" t="n"/>
      <c r="X102" s="83" t="n"/>
      <c r="Y102" s="49" t="n"/>
      <c r="Z102" s="49" t="n"/>
      <c r="AA102" s="115" t="n"/>
      <c r="AB102" s="83" t="n"/>
      <c r="AC102" s="49" t="n"/>
      <c r="AD102" s="49" t="n"/>
      <c r="AE102" s="115" t="n"/>
      <c r="AF102" s="83" t="n"/>
      <c r="AG102" s="49" t="n"/>
      <c r="AH102" s="49" t="n"/>
      <c r="AI102" s="115" t="n"/>
      <c r="AJ102" s="83" t="n"/>
      <c r="AK102" s="49" t="n"/>
      <c r="AL102" s="49" t="n"/>
      <c r="AM102" s="115" t="n"/>
      <c r="AN102" s="83" t="n"/>
      <c r="AO102" s="49" t="n"/>
      <c r="AP102" s="49" t="n"/>
      <c r="AQ102" s="117" t="n"/>
      <c r="AR102" s="83" t="n"/>
      <c r="AS102" s="49" t="n"/>
      <c r="AT102" s="49" t="n"/>
      <c r="AU102" s="115" t="n"/>
      <c r="AV102" s="83" t="n"/>
      <c r="AW102" s="49" t="n"/>
      <c r="AX102" s="49" t="n"/>
      <c r="AY102" s="115" t="n"/>
      <c r="AZ102" s="83" t="n"/>
      <c r="BA102" s="49" t="n"/>
      <c r="BB102" s="49" t="n"/>
      <c r="BC102" s="115" t="n"/>
      <c r="BD102" s="110">
        <f>SUM(K102,O102,S102,W102,AA102,AE102,AI102,AM102,AQ102,AU102,AY102,BC102)</f>
        <v/>
      </c>
      <c r="BE102" s="45" t="n"/>
      <c r="BF102" s="113" t="n"/>
      <c r="BG102" s="45" t="n"/>
      <c r="BH102" s="113" t="n"/>
      <c r="BI102" s="45" t="n"/>
      <c r="BJ102" s="113" t="n"/>
      <c r="BK102" s="45" t="n"/>
      <c r="BL102" s="113" t="n"/>
      <c r="BM102" s="45" t="n"/>
      <c r="BN102" s="113" t="n"/>
      <c r="BO102" s="114">
        <f>SUM(BF102,BH102,BJ102,BL102,BN102)</f>
        <v/>
      </c>
      <c r="BP102" s="45" t="n"/>
      <c r="BQ102" s="45" t="n"/>
      <c r="BR102" s="113" t="n"/>
      <c r="BS102" s="45" t="n"/>
      <c r="BT102" s="113" t="n"/>
      <c r="BU102" s="45" t="n"/>
      <c r="BV102" s="113" t="n"/>
      <c r="BW102" s="114">
        <f>SUM(BR102,BT102,BV102)</f>
        <v/>
      </c>
      <c r="BX102" s="45" t="n"/>
      <c r="BY102" s="114">
        <f>BD102 - IF(BP102="Y", 0, BO102) - IF(BX102="Y", 0, BW102)</f>
        <v/>
      </c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</row>
    <row r="103" ht="13.5" customHeight="1">
      <c r="B103" s="47">
        <f>$B$3</f>
        <v/>
      </c>
      <c r="C103" s="48">
        <f>$C$3</f>
        <v/>
      </c>
      <c r="D103" s="40">
        <f>IF(SUM(COUNTIF(H103, "*"), COUNTIF(L103, "*"), COUNTIF(P103, "*"), COUNTIF(T103, "*"), COUNTIF(X103, "*"), COUNTIF(AB103, "*"), COUNTIF(AF103, "*"), COUNTIF(AJ103, "*"), COUNTIF(AN103, "*"), COUNTIF(AR103, "*"), COUNTIF(AV103, "*"), COUNTIF(AZ103, "*"))&gt;0, "Y", "N")</f>
        <v/>
      </c>
      <c r="E103" s="49" t="n"/>
      <c r="F103" s="49" t="n"/>
      <c r="G103" s="59" t="n">
        <v>48884</v>
      </c>
      <c r="H103" s="83" t="n"/>
      <c r="I103" s="49" t="n"/>
      <c r="J103" s="50" t="n"/>
      <c r="K103" s="115" t="n"/>
      <c r="L103" s="83" t="n"/>
      <c r="M103" s="49" t="n"/>
      <c r="N103" s="49" t="n"/>
      <c r="O103" s="115" t="n"/>
      <c r="P103" s="83" t="n"/>
      <c r="Q103" s="49" t="n"/>
      <c r="R103" s="49" t="n"/>
      <c r="S103" s="115" t="n"/>
      <c r="T103" s="83" t="n"/>
      <c r="U103" s="49" t="n"/>
      <c r="V103" s="49" t="n"/>
      <c r="W103" s="116" t="n"/>
      <c r="X103" s="83" t="n"/>
      <c r="Y103" s="49" t="n"/>
      <c r="Z103" s="49" t="n"/>
      <c r="AA103" s="115" t="n"/>
      <c r="AB103" s="83" t="n"/>
      <c r="AC103" s="49" t="n"/>
      <c r="AD103" s="49" t="n"/>
      <c r="AE103" s="115" t="n"/>
      <c r="AF103" s="83" t="n"/>
      <c r="AG103" s="49" t="n"/>
      <c r="AH103" s="49" t="n"/>
      <c r="AI103" s="115" t="n"/>
      <c r="AJ103" s="83" t="n"/>
      <c r="AK103" s="49" t="n"/>
      <c r="AL103" s="49" t="n"/>
      <c r="AM103" s="115" t="n"/>
      <c r="AN103" s="83" t="n"/>
      <c r="AO103" s="49" t="n"/>
      <c r="AP103" s="49" t="n"/>
      <c r="AQ103" s="117" t="n"/>
      <c r="AR103" s="81" t="n"/>
      <c r="AS103" s="11" t="n"/>
      <c r="AT103" s="41" t="n"/>
      <c r="AU103" s="107" t="n"/>
      <c r="AV103" s="81" t="n"/>
      <c r="AW103" s="11" t="n"/>
      <c r="AX103" s="11" t="n"/>
      <c r="AY103" s="107" t="n"/>
      <c r="AZ103" s="81" t="n"/>
      <c r="BA103" s="11" t="n"/>
      <c r="BB103" s="11" t="n"/>
      <c r="BC103" s="107" t="n"/>
      <c r="BD103" s="110">
        <f>SUM(K103,O103,S103,W103,AA103,AE103,AI103,AM103,AQ103,AU103,AY103,BC103)</f>
        <v/>
      </c>
      <c r="BE103" s="45" t="n"/>
      <c r="BF103" s="113" t="n"/>
      <c r="BG103" s="45" t="n"/>
      <c r="BH103" s="113" t="n"/>
      <c r="BI103" s="45" t="n"/>
      <c r="BJ103" s="113" t="n"/>
      <c r="BK103" s="45" t="n"/>
      <c r="BL103" s="113" t="n"/>
      <c r="BM103" s="45" t="n"/>
      <c r="BN103" s="113" t="n"/>
      <c r="BO103" s="114">
        <f>SUM(BF103,BH103,BJ103,BL103,BN103)</f>
        <v/>
      </c>
      <c r="BP103" s="45" t="n"/>
      <c r="BQ103" s="45" t="n"/>
      <c r="BR103" s="113" t="n"/>
      <c r="BS103" s="45" t="n"/>
      <c r="BT103" s="113" t="n"/>
      <c r="BU103" s="45" t="n"/>
      <c r="BV103" s="113" t="n"/>
      <c r="BW103" s="114">
        <f>SUM(BR103,BT103,BV103)</f>
        <v/>
      </c>
      <c r="BX103" s="45" t="n"/>
      <c r="BY103" s="114">
        <f>BD103 - IF(BP103="Y", 0, BO103) - IF(BX103="Y", 0, BW103)</f>
        <v/>
      </c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</row>
    <row r="104" ht="13.5" customHeight="1">
      <c r="B104" s="47">
        <f>$B$3</f>
        <v/>
      </c>
      <c r="C104" s="48">
        <f>$C$3</f>
        <v/>
      </c>
      <c r="D104" s="40">
        <f>IF(SUM(COUNTIF(H104, "*"), COUNTIF(L104, "*"), COUNTIF(P104, "*"), COUNTIF(T104, "*"), COUNTIF(X104, "*"), COUNTIF(AB104, "*"), COUNTIF(AF104, "*"), COUNTIF(AJ104, "*"), COUNTIF(AN104, "*"), COUNTIF(AR104, "*"), COUNTIF(AV104, "*"), COUNTIF(AZ104, "*"))&gt;0, "Y", "N")</f>
        <v/>
      </c>
      <c r="E104" s="49" t="n"/>
      <c r="F104" s="49" t="n"/>
      <c r="G104" s="59" t="n">
        <v>48914</v>
      </c>
      <c r="H104" s="83" t="n"/>
      <c r="I104" s="49" t="n"/>
      <c r="J104" s="50" t="n"/>
      <c r="K104" s="115" t="n"/>
      <c r="L104" s="83" t="n"/>
      <c r="M104" s="49" t="n"/>
      <c r="N104" s="49" t="n"/>
      <c r="O104" s="115" t="n"/>
      <c r="P104" s="83" t="n"/>
      <c r="Q104" s="49" t="n"/>
      <c r="R104" s="49" t="n"/>
      <c r="S104" s="115" t="n"/>
      <c r="T104" s="83" t="n"/>
      <c r="U104" s="49" t="n"/>
      <c r="V104" s="49" t="n"/>
      <c r="W104" s="116" t="n"/>
      <c r="X104" s="83" t="n"/>
      <c r="Y104" s="49" t="n"/>
      <c r="Z104" s="49" t="n"/>
      <c r="AA104" s="115" t="n"/>
      <c r="AB104" s="83" t="n"/>
      <c r="AC104" s="49" t="n"/>
      <c r="AD104" s="49" t="n"/>
      <c r="AE104" s="115" t="n"/>
      <c r="AF104" s="83" t="n"/>
      <c r="AG104" s="49" t="n"/>
      <c r="AH104" s="49" t="n"/>
      <c r="AI104" s="115" t="n"/>
      <c r="AJ104" s="83" t="n"/>
      <c r="AK104" s="49" t="n"/>
      <c r="AL104" s="49" t="n"/>
      <c r="AM104" s="115" t="n"/>
      <c r="AN104" s="83" t="n"/>
      <c r="AO104" s="49" t="n"/>
      <c r="AP104" s="49" t="n"/>
      <c r="AQ104" s="117" t="n"/>
      <c r="AR104" s="83" t="n"/>
      <c r="AS104" s="11" t="n"/>
      <c r="AT104" s="41" t="n"/>
      <c r="AU104" s="107" t="n"/>
      <c r="AV104" s="83" t="n"/>
      <c r="AW104" s="49" t="n"/>
      <c r="AX104" s="49" t="n"/>
      <c r="AY104" s="115" t="n"/>
      <c r="AZ104" s="83" t="n"/>
      <c r="BA104" s="49" t="n"/>
      <c r="BB104" s="49" t="n"/>
      <c r="BC104" s="115" t="n"/>
      <c r="BD104" s="110">
        <f>SUM(K104,O104,S104,W104,AA104,AE104,AI104,AM104,AQ104,AU104,AY104,BC104)</f>
        <v/>
      </c>
      <c r="BE104" s="45" t="n"/>
      <c r="BF104" s="113" t="n"/>
      <c r="BG104" s="45" t="n"/>
      <c r="BH104" s="113" t="n"/>
      <c r="BI104" s="45" t="n"/>
      <c r="BJ104" s="113" t="n"/>
      <c r="BK104" s="45" t="n"/>
      <c r="BL104" s="113" t="n"/>
      <c r="BM104" s="45" t="n"/>
      <c r="BN104" s="113" t="n"/>
      <c r="BO104" s="114">
        <f>SUM(BF104,BH104,BJ104,BL104,BN104)</f>
        <v/>
      </c>
      <c r="BP104" s="45" t="n"/>
      <c r="BQ104" s="45" t="n"/>
      <c r="BR104" s="113" t="n"/>
      <c r="BS104" s="45" t="n"/>
      <c r="BT104" s="113" t="n"/>
      <c r="BU104" s="45" t="n"/>
      <c r="BV104" s="113" t="n"/>
      <c r="BW104" s="114">
        <f>SUM(BR104,BT104,BV104)</f>
        <v/>
      </c>
      <c r="BX104" s="45" t="n"/>
      <c r="BY104" s="114">
        <f>BD104 - IF(BP104="Y", 0, BO104) - IF(BX104="Y", 0, BW104)</f>
        <v/>
      </c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</row>
    <row r="105" ht="13.5" customHeight="1">
      <c r="B105" s="47">
        <f>$B$3</f>
        <v/>
      </c>
      <c r="C105" s="48">
        <f>$C$3</f>
        <v/>
      </c>
      <c r="D105" s="40">
        <f>IF(SUM(COUNTIF(H105, "*"), COUNTIF(L105, "*"), COUNTIF(P105, "*"), COUNTIF(T105, "*"), COUNTIF(X105, "*"), COUNTIF(AB105, "*"), COUNTIF(AF105, "*"), COUNTIF(AJ105, "*"), COUNTIF(AN105, "*"), COUNTIF(AR105, "*"), COUNTIF(AV105, "*"), COUNTIF(AZ105, "*"))&gt;0, "Y", "N")</f>
        <v/>
      </c>
      <c r="E105" s="49" t="n"/>
      <c r="F105" s="49" t="n"/>
      <c r="G105" s="59" t="n">
        <v>48945</v>
      </c>
      <c r="H105" s="83" t="n"/>
      <c r="I105" s="49" t="n"/>
      <c r="J105" s="50" t="n"/>
      <c r="K105" s="115" t="n"/>
      <c r="L105" s="83" t="n"/>
      <c r="M105" s="49" t="n"/>
      <c r="N105" s="49" t="n"/>
      <c r="O105" s="115" t="n"/>
      <c r="P105" s="83" t="n"/>
      <c r="Q105" s="49" t="n"/>
      <c r="R105" s="49" t="n"/>
      <c r="S105" s="115" t="n"/>
      <c r="T105" s="83" t="n"/>
      <c r="U105" s="49" t="n"/>
      <c r="V105" s="49" t="n"/>
      <c r="W105" s="116" t="n"/>
      <c r="X105" s="83" t="n"/>
      <c r="Y105" s="49" t="n"/>
      <c r="Z105" s="49" t="n"/>
      <c r="AA105" s="115" t="n"/>
      <c r="AB105" s="83" t="n"/>
      <c r="AC105" s="49" t="n"/>
      <c r="AD105" s="49" t="n"/>
      <c r="AE105" s="115" t="n"/>
      <c r="AF105" s="83" t="n"/>
      <c r="AG105" s="49" t="n"/>
      <c r="AH105" s="49" t="n"/>
      <c r="AI105" s="115" t="n"/>
      <c r="AJ105" s="83" t="n"/>
      <c r="AK105" s="49" t="n"/>
      <c r="AL105" s="49" t="n"/>
      <c r="AM105" s="115" t="n"/>
      <c r="AN105" s="83" t="n"/>
      <c r="AO105" s="49" t="n"/>
      <c r="AP105" s="49" t="n"/>
      <c r="AQ105" s="117" t="n"/>
      <c r="AR105" s="83" t="n"/>
      <c r="AS105" s="11" t="n"/>
      <c r="AT105" s="41" t="n"/>
      <c r="AU105" s="107" t="n"/>
      <c r="AV105" s="83" t="n"/>
      <c r="AW105" s="49" t="n"/>
      <c r="AX105" s="49" t="n"/>
      <c r="AY105" s="115" t="n"/>
      <c r="AZ105" s="83" t="n"/>
      <c r="BA105" s="49" t="n"/>
      <c r="BB105" s="49" t="n"/>
      <c r="BC105" s="115" t="n"/>
      <c r="BD105" s="110">
        <f>SUM(K105,O105,S105,W105,AA105,AE105,AI105,AM105,AQ105,AU105,AY105,BC105)</f>
        <v/>
      </c>
      <c r="BE105" s="45" t="n"/>
      <c r="BF105" s="113" t="n"/>
      <c r="BG105" s="45" t="n"/>
      <c r="BH105" s="113" t="n"/>
      <c r="BI105" s="45" t="n"/>
      <c r="BJ105" s="113" t="n"/>
      <c r="BK105" s="45" t="n"/>
      <c r="BL105" s="113" t="n"/>
      <c r="BM105" s="45" t="n"/>
      <c r="BN105" s="113" t="n"/>
      <c r="BO105" s="114">
        <f>SUM(BF105,BH105,BJ105,BL105,BN105)</f>
        <v/>
      </c>
      <c r="BP105" s="45" t="n"/>
      <c r="BQ105" s="45" t="n"/>
      <c r="BR105" s="113" t="n"/>
      <c r="BS105" s="45" t="n"/>
      <c r="BT105" s="113" t="n"/>
      <c r="BU105" s="45" t="n"/>
      <c r="BV105" s="113" t="n"/>
      <c r="BW105" s="114">
        <f>SUM(BR105,BT105,BV105)</f>
        <v/>
      </c>
      <c r="BX105" s="45" t="n"/>
      <c r="BY105" s="114">
        <f>BD105 - IF(BP105="Y", 0, BO105) - IF(BX105="Y", 0, BW105)</f>
        <v/>
      </c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</row>
    <row r="106" ht="13.5" customHeight="1">
      <c r="B106" s="47">
        <f>$B$3</f>
        <v/>
      </c>
      <c r="C106" s="48">
        <f>$C$3</f>
        <v/>
      </c>
      <c r="D106" s="40">
        <f>IF(SUM(COUNTIF(H106, "*"), COUNTIF(L106, "*"), COUNTIF(P106, "*"), COUNTIF(T106, "*"), COUNTIF(X106, "*"), COUNTIF(AB106, "*"), COUNTIF(AF106, "*"), COUNTIF(AJ106, "*"), COUNTIF(AN106, "*"), COUNTIF(AR106, "*"), COUNTIF(AV106, "*"), COUNTIF(AZ106, "*"))&gt;0, "Y", "N")</f>
        <v/>
      </c>
      <c r="E106" s="49" t="n"/>
      <c r="F106" s="49" t="n"/>
      <c r="G106" s="59" t="n">
        <v>48976</v>
      </c>
      <c r="H106" s="83" t="n"/>
      <c r="I106" s="49" t="n"/>
      <c r="J106" s="50" t="n"/>
      <c r="K106" s="115" t="n"/>
      <c r="L106" s="83" t="n"/>
      <c r="M106" s="49" t="n"/>
      <c r="N106" s="49" t="n"/>
      <c r="O106" s="115" t="n"/>
      <c r="P106" s="83" t="n"/>
      <c r="Q106" s="49" t="n"/>
      <c r="R106" s="49" t="n"/>
      <c r="S106" s="115" t="n"/>
      <c r="T106" s="83" t="n"/>
      <c r="U106" s="49" t="n"/>
      <c r="V106" s="49" t="n"/>
      <c r="W106" s="116" t="n"/>
      <c r="X106" s="83" t="n"/>
      <c r="Y106" s="49" t="n"/>
      <c r="Z106" s="49" t="n"/>
      <c r="AA106" s="115" t="n"/>
      <c r="AB106" s="83" t="n"/>
      <c r="AC106" s="49" t="n"/>
      <c r="AD106" s="49" t="n"/>
      <c r="AE106" s="115" t="n"/>
      <c r="AF106" s="83" t="n"/>
      <c r="AG106" s="49" t="n"/>
      <c r="AH106" s="49" t="n"/>
      <c r="AI106" s="115" t="n"/>
      <c r="AJ106" s="83" t="n"/>
      <c r="AK106" s="49" t="n"/>
      <c r="AL106" s="49" t="n"/>
      <c r="AM106" s="115" t="n"/>
      <c r="AN106" s="83" t="n"/>
      <c r="AO106" s="49" t="n"/>
      <c r="AP106" s="49" t="n"/>
      <c r="AQ106" s="117" t="n"/>
      <c r="AR106" s="83" t="n"/>
      <c r="AS106" s="49" t="n"/>
      <c r="AT106" s="41" t="n"/>
      <c r="AU106" s="107" t="n"/>
      <c r="AV106" s="83" t="n"/>
      <c r="AW106" s="49" t="n"/>
      <c r="AX106" s="49" t="n"/>
      <c r="AY106" s="115" t="n"/>
      <c r="AZ106" s="83" t="n"/>
      <c r="BA106" s="49" t="n"/>
      <c r="BB106" s="49" t="n"/>
      <c r="BC106" s="115" t="n"/>
      <c r="BD106" s="110">
        <f>SUM(K106,O106,S106,W106,AA106,AE106,AI106,AM106,AQ106,AU106,AY106,BC106)</f>
        <v/>
      </c>
      <c r="BE106" s="45" t="n"/>
      <c r="BF106" s="113" t="n"/>
      <c r="BG106" s="45" t="n"/>
      <c r="BH106" s="113" t="n"/>
      <c r="BI106" s="45" t="n"/>
      <c r="BJ106" s="113" t="n"/>
      <c r="BK106" s="45" t="n"/>
      <c r="BL106" s="113" t="n"/>
      <c r="BM106" s="45" t="n"/>
      <c r="BN106" s="113" t="n"/>
      <c r="BO106" s="114">
        <f>SUM(BF106,BH106,BJ106,BL106,BN106)</f>
        <v/>
      </c>
      <c r="BP106" s="45" t="n"/>
      <c r="BQ106" s="45" t="n"/>
      <c r="BR106" s="113" t="n"/>
      <c r="BS106" s="45" t="n"/>
      <c r="BT106" s="113" t="n"/>
      <c r="BU106" s="45" t="n"/>
      <c r="BV106" s="113" t="n"/>
      <c r="BW106" s="114">
        <f>SUM(BR106,BT106,BV106)</f>
        <v/>
      </c>
      <c r="BX106" s="45" t="n"/>
      <c r="BY106" s="114">
        <f>BD106 - IF(BP106="Y", 0, BO106) - IF(BX106="Y", 0, BW106)</f>
        <v/>
      </c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</row>
    <row r="107" ht="13.5" customHeight="1">
      <c r="B107" s="47">
        <f>$B$3</f>
        <v/>
      </c>
      <c r="C107" s="48">
        <f>$C$3</f>
        <v/>
      </c>
      <c r="D107" s="40">
        <f>IF(SUM(COUNTIF(H107, "*"), COUNTIF(L107, "*"), COUNTIF(P107, "*"), COUNTIF(T107, "*"), COUNTIF(X107, "*"), COUNTIF(AB107, "*"), COUNTIF(AF107, "*"), COUNTIF(AJ107, "*"), COUNTIF(AN107, "*"), COUNTIF(AR107, "*"), COUNTIF(AV107, "*"), COUNTIF(AZ107, "*"))&gt;0, "Y", "N")</f>
        <v/>
      </c>
      <c r="E107" s="49" t="n"/>
      <c r="F107" s="49" t="n"/>
      <c r="G107" s="59" t="n">
        <v>49004</v>
      </c>
      <c r="H107" s="83" t="n"/>
      <c r="I107" s="49" t="n"/>
      <c r="J107" s="50" t="n"/>
      <c r="K107" s="115" t="n"/>
      <c r="L107" s="83" t="n"/>
      <c r="M107" s="49" t="n"/>
      <c r="N107" s="49" t="n"/>
      <c r="O107" s="115" t="n"/>
      <c r="P107" s="83" t="n"/>
      <c r="Q107" s="49" t="n"/>
      <c r="R107" s="49" t="n"/>
      <c r="S107" s="115" t="n"/>
      <c r="T107" s="83" t="n"/>
      <c r="U107" s="49" t="n"/>
      <c r="V107" s="49" t="n"/>
      <c r="W107" s="116" t="n"/>
      <c r="X107" s="83" t="n"/>
      <c r="Y107" s="49" t="n"/>
      <c r="Z107" s="49" t="n"/>
      <c r="AA107" s="115" t="n"/>
      <c r="AB107" s="83" t="n"/>
      <c r="AC107" s="49" t="n"/>
      <c r="AD107" s="49" t="n"/>
      <c r="AE107" s="115" t="n"/>
      <c r="AF107" s="83" t="n"/>
      <c r="AG107" s="49" t="n"/>
      <c r="AH107" s="49" t="n"/>
      <c r="AI107" s="115" t="n"/>
      <c r="AJ107" s="83" t="n"/>
      <c r="AK107" s="49" t="n"/>
      <c r="AL107" s="49" t="n"/>
      <c r="AM107" s="115" t="n"/>
      <c r="AN107" s="83" t="n"/>
      <c r="AO107" s="49" t="n"/>
      <c r="AP107" s="49" t="n"/>
      <c r="AQ107" s="117" t="n"/>
      <c r="AR107" s="83" t="n"/>
      <c r="AS107" s="49" t="n"/>
      <c r="AT107" s="50" t="n"/>
      <c r="AU107" s="107" t="n"/>
      <c r="AV107" s="83" t="n"/>
      <c r="AW107" s="49" t="n"/>
      <c r="AX107" s="49" t="n"/>
      <c r="AY107" s="115" t="n"/>
      <c r="AZ107" s="83" t="n"/>
      <c r="BA107" s="49" t="n"/>
      <c r="BB107" s="49" t="n"/>
      <c r="BC107" s="115" t="n"/>
      <c r="BD107" s="110">
        <f>SUM(K107,O107,S107,W107,AA107,AE107,AI107,AM107,AQ107,AU107,AY107,BC107)</f>
        <v/>
      </c>
      <c r="BE107" s="45" t="n"/>
      <c r="BF107" s="113" t="n"/>
      <c r="BG107" s="45" t="n"/>
      <c r="BH107" s="113" t="n"/>
      <c r="BI107" s="45" t="n"/>
      <c r="BJ107" s="113" t="n"/>
      <c r="BK107" s="45" t="n"/>
      <c r="BL107" s="113" t="n"/>
      <c r="BM107" s="45" t="n"/>
      <c r="BN107" s="113" t="n"/>
      <c r="BO107" s="114">
        <f>SUM(BF107,BH107,BJ107,BL107,BN107)</f>
        <v/>
      </c>
      <c r="BP107" s="45" t="n"/>
      <c r="BQ107" s="45" t="n"/>
      <c r="BR107" s="113" t="n"/>
      <c r="BS107" s="45" t="n"/>
      <c r="BT107" s="113" t="n"/>
      <c r="BU107" s="45" t="n"/>
      <c r="BV107" s="113" t="n"/>
      <c r="BW107" s="114">
        <f>SUM(BR107,BT107,BV107)</f>
        <v/>
      </c>
      <c r="BX107" s="45" t="n"/>
      <c r="BY107" s="114">
        <f>BD107 - IF(BP107="Y", 0, BO107) - IF(BX107="Y", 0, BW107)</f>
        <v/>
      </c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</row>
    <row r="108" ht="13.5" customHeight="1">
      <c r="B108" s="47">
        <f>$B$3</f>
        <v/>
      </c>
      <c r="C108" s="48">
        <f>$C$3</f>
        <v/>
      </c>
      <c r="D108" s="40">
        <f>IF(SUM(COUNTIF(H108, "*"), COUNTIF(L108, "*"), COUNTIF(P108, "*"), COUNTIF(T108, "*"), COUNTIF(X108, "*"), COUNTIF(AB108, "*"), COUNTIF(AF108, "*"), COUNTIF(AJ108, "*"), COUNTIF(AN108, "*"), COUNTIF(AR108, "*"), COUNTIF(AV108, "*"), COUNTIF(AZ108, "*"))&gt;0, "Y", "N")</f>
        <v/>
      </c>
      <c r="E108" s="49" t="n"/>
      <c r="F108" s="49" t="n"/>
      <c r="G108" s="59" t="n">
        <v>49035</v>
      </c>
      <c r="H108" s="83" t="n"/>
      <c r="I108" s="49" t="n"/>
      <c r="J108" s="50" t="n"/>
      <c r="K108" s="115" t="n"/>
      <c r="L108" s="83" t="n"/>
      <c r="M108" s="49" t="n"/>
      <c r="N108" s="49" t="n"/>
      <c r="O108" s="115" t="n"/>
      <c r="P108" s="83" t="n"/>
      <c r="Q108" s="49" t="n"/>
      <c r="R108" s="49" t="n"/>
      <c r="S108" s="115" t="n"/>
      <c r="T108" s="83" t="n"/>
      <c r="U108" s="49" t="n"/>
      <c r="V108" s="49" t="n"/>
      <c r="W108" s="116" t="n"/>
      <c r="X108" s="83" t="n"/>
      <c r="Y108" s="49" t="n"/>
      <c r="Z108" s="49" t="n"/>
      <c r="AA108" s="115" t="n"/>
      <c r="AB108" s="83" t="n"/>
      <c r="AC108" s="49" t="n"/>
      <c r="AD108" s="49" t="n"/>
      <c r="AE108" s="115" t="n"/>
      <c r="AF108" s="83" t="n"/>
      <c r="AG108" s="49" t="n"/>
      <c r="AH108" s="49" t="n"/>
      <c r="AI108" s="115" t="n"/>
      <c r="AJ108" s="83" t="n"/>
      <c r="AK108" s="49" t="n"/>
      <c r="AL108" s="49" t="n"/>
      <c r="AM108" s="115" t="n"/>
      <c r="AN108" s="83" t="n"/>
      <c r="AO108" s="49" t="n"/>
      <c r="AP108" s="49" t="n"/>
      <c r="AQ108" s="117" t="n"/>
      <c r="AR108" s="83" t="n"/>
      <c r="AS108" s="49" t="n"/>
      <c r="AT108" s="50" t="n"/>
      <c r="AU108" s="107" t="n"/>
      <c r="AV108" s="83" t="n"/>
      <c r="AW108" s="49" t="n"/>
      <c r="AX108" s="49" t="n"/>
      <c r="AY108" s="115" t="n"/>
      <c r="AZ108" s="83" t="n"/>
      <c r="BA108" s="49" t="n"/>
      <c r="BB108" s="49" t="n"/>
      <c r="BC108" s="115" t="n"/>
      <c r="BD108" s="110">
        <f>SUM(K108,O108,S108,W108,AA108,AE108,AI108,AM108,AQ108,AU108,AY108,BC108)</f>
        <v/>
      </c>
      <c r="BE108" s="45" t="n"/>
      <c r="BF108" s="113" t="n"/>
      <c r="BG108" s="45" t="n"/>
      <c r="BH108" s="113" t="n"/>
      <c r="BI108" s="45" t="n"/>
      <c r="BJ108" s="113" t="n"/>
      <c r="BK108" s="45" t="n"/>
      <c r="BL108" s="113" t="n"/>
      <c r="BM108" s="45" t="n"/>
      <c r="BN108" s="113" t="n"/>
      <c r="BO108" s="114">
        <f>SUM(BF108,BH108,BJ108,BL108,BN108)</f>
        <v/>
      </c>
      <c r="BP108" s="45" t="n"/>
      <c r="BQ108" s="45" t="n"/>
      <c r="BR108" s="113" t="n"/>
      <c r="BS108" s="45" t="n"/>
      <c r="BT108" s="113" t="n"/>
      <c r="BU108" s="45" t="n"/>
      <c r="BV108" s="113" t="n"/>
      <c r="BW108" s="114">
        <f>SUM(BR108,BT108,BV108)</f>
        <v/>
      </c>
      <c r="BX108" s="45" t="n"/>
      <c r="BY108" s="114">
        <f>BD108 - IF(BP108="Y", 0, BO108) - IF(BX108="Y", 0, BW108)</f>
        <v/>
      </c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</row>
    <row r="109" ht="13.5" customHeight="1">
      <c r="B109" s="47">
        <f>$B$3</f>
        <v/>
      </c>
      <c r="C109" s="48">
        <f>$C$3</f>
        <v/>
      </c>
      <c r="D109" s="40">
        <f>IF(SUM(COUNTIF(H109, "*"), COUNTIF(L109, "*"), COUNTIF(P109, "*"), COUNTIF(T109, "*"), COUNTIF(X109, "*"), COUNTIF(AB109, "*"), COUNTIF(AF109, "*"), COUNTIF(AJ109, "*"), COUNTIF(AN109, "*"), COUNTIF(AR109, "*"), COUNTIF(AV109, "*"), COUNTIF(AZ109, "*"))&gt;0, "Y", "N")</f>
        <v/>
      </c>
      <c r="E109" s="49" t="n"/>
      <c r="F109" s="49" t="n"/>
      <c r="G109" s="59" t="n">
        <v>49065</v>
      </c>
      <c r="H109" s="83" t="n"/>
      <c r="I109" s="49" t="n"/>
      <c r="J109" s="50" t="n"/>
      <c r="K109" s="115" t="n"/>
      <c r="L109" s="83" t="n"/>
      <c r="M109" s="49" t="n"/>
      <c r="N109" s="49" t="n"/>
      <c r="O109" s="115" t="n"/>
      <c r="P109" s="83" t="n"/>
      <c r="Q109" s="49" t="n"/>
      <c r="R109" s="49" t="n"/>
      <c r="S109" s="115" t="n"/>
      <c r="T109" s="83" t="n"/>
      <c r="U109" s="49" t="n"/>
      <c r="V109" s="49" t="n"/>
      <c r="W109" s="116" t="n"/>
      <c r="X109" s="83" t="n"/>
      <c r="Y109" s="49" t="n"/>
      <c r="Z109" s="49" t="n"/>
      <c r="AA109" s="115" t="n"/>
      <c r="AB109" s="83" t="n"/>
      <c r="AC109" s="49" t="n"/>
      <c r="AD109" s="49" t="n"/>
      <c r="AE109" s="115" t="n"/>
      <c r="AF109" s="83" t="n"/>
      <c r="AG109" s="49" t="n"/>
      <c r="AH109" s="49" t="n"/>
      <c r="AI109" s="115" t="n"/>
      <c r="AJ109" s="83" t="n"/>
      <c r="AK109" s="49" t="n"/>
      <c r="AL109" s="49" t="n"/>
      <c r="AM109" s="115" t="n"/>
      <c r="AN109" s="83" t="n"/>
      <c r="AO109" s="49" t="n"/>
      <c r="AP109" s="49" t="n"/>
      <c r="AQ109" s="117" t="n"/>
      <c r="AR109" s="83" t="n"/>
      <c r="AS109" s="49" t="n"/>
      <c r="AT109" s="50" t="n"/>
      <c r="AU109" s="107" t="n"/>
      <c r="AV109" s="83" t="n"/>
      <c r="AW109" s="49" t="n"/>
      <c r="AX109" s="49" t="n"/>
      <c r="AY109" s="115" t="n"/>
      <c r="AZ109" s="83" t="n"/>
      <c r="BA109" s="49" t="n"/>
      <c r="BB109" s="49" t="n"/>
      <c r="BC109" s="115" t="n"/>
      <c r="BD109" s="110">
        <f>SUM(K109,O109,S109,W109,AA109,AE109,AI109,AM109,AQ109,AU109,AY109,BC109)</f>
        <v/>
      </c>
      <c r="BE109" s="45" t="n"/>
      <c r="BF109" s="113" t="n"/>
      <c r="BG109" s="45" t="n"/>
      <c r="BH109" s="113" t="n"/>
      <c r="BI109" s="45" t="n"/>
      <c r="BJ109" s="113" t="n"/>
      <c r="BK109" s="45" t="n"/>
      <c r="BL109" s="113" t="n"/>
      <c r="BM109" s="45" t="n"/>
      <c r="BN109" s="113" t="n"/>
      <c r="BO109" s="114">
        <f>SUM(BF109,BH109,BJ109,BL109,BN109)</f>
        <v/>
      </c>
      <c r="BP109" s="45" t="n"/>
      <c r="BQ109" s="45" t="n"/>
      <c r="BR109" s="113" t="n"/>
      <c r="BS109" s="45" t="n"/>
      <c r="BT109" s="113" t="n"/>
      <c r="BU109" s="45" t="n"/>
      <c r="BV109" s="113" t="n"/>
      <c r="BW109" s="114">
        <f>SUM(BR109,BT109,BV109)</f>
        <v/>
      </c>
      <c r="BX109" s="45" t="n"/>
      <c r="BY109" s="114">
        <f>BD109 - IF(BP109="Y", 0, BO109) - IF(BX109="Y", 0, BW109)</f>
        <v/>
      </c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</row>
    <row r="110" ht="13.5" customHeight="1">
      <c r="B110" s="47">
        <f>$B$3</f>
        <v/>
      </c>
      <c r="C110" s="48">
        <f>$C$3</f>
        <v/>
      </c>
      <c r="D110" s="40">
        <f>IF(SUM(COUNTIF(H110, "*"), COUNTIF(L110, "*"), COUNTIF(P110, "*"), COUNTIF(T110, "*"), COUNTIF(X110, "*"), COUNTIF(AB110, "*"), COUNTIF(AF110, "*"), COUNTIF(AJ110, "*"), COUNTIF(AN110, "*"), COUNTIF(AR110, "*"), COUNTIF(AV110, "*"), COUNTIF(AZ110, "*"))&gt;0, "Y", "N")</f>
        <v/>
      </c>
      <c r="E110" s="49" t="n"/>
      <c r="F110" s="49" t="n"/>
      <c r="G110" s="59" t="n">
        <v>49096</v>
      </c>
      <c r="H110" s="83" t="n"/>
      <c r="I110" s="49" t="n"/>
      <c r="J110" s="50" t="n"/>
      <c r="K110" s="115" t="n"/>
      <c r="L110" s="83" t="n"/>
      <c r="M110" s="49" t="n"/>
      <c r="N110" s="49" t="n"/>
      <c r="O110" s="115" t="n"/>
      <c r="P110" s="83" t="n"/>
      <c r="Q110" s="49" t="n"/>
      <c r="R110" s="49" t="n"/>
      <c r="S110" s="115" t="n"/>
      <c r="T110" s="83" t="n"/>
      <c r="U110" s="49" t="n"/>
      <c r="V110" s="49" t="n"/>
      <c r="W110" s="116" t="n"/>
      <c r="X110" s="83" t="n"/>
      <c r="Y110" s="49" t="n"/>
      <c r="Z110" s="49" t="n"/>
      <c r="AA110" s="115" t="n"/>
      <c r="AB110" s="83" t="n"/>
      <c r="AC110" s="49" t="n"/>
      <c r="AD110" s="49" t="n"/>
      <c r="AE110" s="115" t="n"/>
      <c r="AF110" s="83" t="n"/>
      <c r="AG110" s="49" t="n"/>
      <c r="AH110" s="49" t="n"/>
      <c r="AI110" s="115" t="n"/>
      <c r="AJ110" s="83" t="n"/>
      <c r="AK110" s="49" t="n"/>
      <c r="AL110" s="49" t="n"/>
      <c r="AM110" s="115" t="n"/>
      <c r="AN110" s="83" t="n"/>
      <c r="AO110" s="49" t="n"/>
      <c r="AP110" s="49" t="n"/>
      <c r="AQ110" s="117" t="n"/>
      <c r="AR110" s="83" t="n"/>
      <c r="AS110" s="49" t="n"/>
      <c r="AT110" s="50" t="n"/>
      <c r="AU110" s="107" t="n"/>
      <c r="AV110" s="83" t="n"/>
      <c r="AW110" s="49" t="n"/>
      <c r="AX110" s="49" t="n"/>
      <c r="AY110" s="115" t="n"/>
      <c r="AZ110" s="83" t="n"/>
      <c r="BA110" s="49" t="n"/>
      <c r="BB110" s="49" t="n"/>
      <c r="BC110" s="115" t="n"/>
      <c r="BD110" s="110">
        <f>SUM(K110,O110,S110,W110,AA110,AE110,AI110,AM110,AQ110,AU110,AY110,BC110)</f>
        <v/>
      </c>
      <c r="BE110" s="45" t="n"/>
      <c r="BF110" s="113" t="n"/>
      <c r="BG110" s="45" t="n"/>
      <c r="BH110" s="113" t="n"/>
      <c r="BI110" s="45" t="n"/>
      <c r="BJ110" s="113" t="n"/>
      <c r="BK110" s="45" t="n"/>
      <c r="BL110" s="113" t="n"/>
      <c r="BM110" s="45" t="n"/>
      <c r="BN110" s="113" t="n"/>
      <c r="BO110" s="114">
        <f>SUM(BF110,BH110,BJ110,BL110,BN110)</f>
        <v/>
      </c>
      <c r="BP110" s="45" t="n"/>
      <c r="BQ110" s="45" t="n"/>
      <c r="BR110" s="113" t="n"/>
      <c r="BS110" s="45" t="n"/>
      <c r="BT110" s="113" t="n"/>
      <c r="BU110" s="45" t="n"/>
      <c r="BV110" s="113" t="n"/>
      <c r="BW110" s="114">
        <f>SUM(BR110,BT110,BV110)</f>
        <v/>
      </c>
      <c r="BX110" s="45" t="n"/>
      <c r="BY110" s="114">
        <f>BD110 - IF(BP110="Y", 0, BO110) - IF(BX110="Y", 0, BW110)</f>
        <v/>
      </c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</row>
    <row r="111" ht="13.5" customHeight="1">
      <c r="B111" s="47">
        <f>$B$3</f>
        <v/>
      </c>
      <c r="C111" s="48">
        <f>$C$3</f>
        <v/>
      </c>
      <c r="D111" s="40">
        <f>IF(SUM(COUNTIF(H111, "*"), COUNTIF(L111, "*"), COUNTIF(P111, "*"), COUNTIF(T111, "*"), COUNTIF(X111, "*"), COUNTIF(AB111, "*"), COUNTIF(AF111, "*"), COUNTIF(AJ111, "*"), COUNTIF(AN111, "*"), COUNTIF(AR111, "*"), COUNTIF(AV111, "*"), COUNTIF(AZ111, "*"))&gt;0, "Y", "N")</f>
        <v/>
      </c>
      <c r="E111" s="49" t="n"/>
      <c r="F111" s="49" t="n"/>
      <c r="G111" s="59" t="n">
        <v>49126</v>
      </c>
      <c r="H111" s="83" t="n"/>
      <c r="I111" s="49" t="n"/>
      <c r="J111" s="50" t="n"/>
      <c r="K111" s="115" t="n"/>
      <c r="L111" s="83" t="n"/>
      <c r="M111" s="49" t="n"/>
      <c r="N111" s="49" t="n"/>
      <c r="O111" s="115" t="n"/>
      <c r="P111" s="83" t="n"/>
      <c r="Q111" s="49" t="n"/>
      <c r="R111" s="49" t="n"/>
      <c r="S111" s="115" t="n"/>
      <c r="T111" s="83" t="n"/>
      <c r="U111" s="49" t="n"/>
      <c r="V111" s="49" t="n"/>
      <c r="W111" s="116" t="n"/>
      <c r="X111" s="83" t="n"/>
      <c r="Y111" s="49" t="n"/>
      <c r="Z111" s="49" t="n"/>
      <c r="AA111" s="115" t="n"/>
      <c r="AB111" s="83" t="n"/>
      <c r="AC111" s="49" t="n"/>
      <c r="AD111" s="49" t="n"/>
      <c r="AE111" s="115" t="n"/>
      <c r="AF111" s="83" t="n"/>
      <c r="AG111" s="49" t="n"/>
      <c r="AH111" s="49" t="n"/>
      <c r="AI111" s="115" t="n"/>
      <c r="AJ111" s="83" t="n"/>
      <c r="AK111" s="49" t="n"/>
      <c r="AL111" s="49" t="n"/>
      <c r="AM111" s="115" t="n"/>
      <c r="AN111" s="83" t="n"/>
      <c r="AO111" s="49" t="n"/>
      <c r="AP111" s="49" t="n"/>
      <c r="AQ111" s="117" t="n"/>
      <c r="AR111" s="83" t="n"/>
      <c r="AS111" s="49" t="n"/>
      <c r="AT111" s="50" t="n"/>
      <c r="AU111" s="115" t="n"/>
      <c r="AV111" s="83" t="n"/>
      <c r="AW111" s="49" t="n"/>
      <c r="AX111" s="49" t="n"/>
      <c r="AY111" s="115" t="n"/>
      <c r="AZ111" s="83" t="n"/>
      <c r="BA111" s="49" t="n"/>
      <c r="BB111" s="49" t="n"/>
      <c r="BC111" s="115" t="n"/>
      <c r="BD111" s="110">
        <f>SUM(K111,O111,S111,W111,AA111,AE111,AI111,AM111,AQ111,AU111,AY111,BC111)</f>
        <v/>
      </c>
      <c r="BE111" s="45" t="n"/>
      <c r="BF111" s="113" t="n"/>
      <c r="BG111" s="45" t="n"/>
      <c r="BH111" s="113" t="n"/>
      <c r="BI111" s="45" t="n"/>
      <c r="BJ111" s="113" t="n"/>
      <c r="BK111" s="45" t="n"/>
      <c r="BL111" s="113" t="n"/>
      <c r="BM111" s="45" t="n"/>
      <c r="BN111" s="113" t="n"/>
      <c r="BO111" s="114">
        <f>SUM(BF111,BH111,BJ111,BL111,BN111)</f>
        <v/>
      </c>
      <c r="BP111" s="45" t="n"/>
      <c r="BQ111" s="45" t="n"/>
      <c r="BR111" s="113" t="n"/>
      <c r="BS111" s="45" t="n"/>
      <c r="BT111" s="113" t="n"/>
      <c r="BU111" s="45" t="n"/>
      <c r="BV111" s="113" t="n"/>
      <c r="BW111" s="114">
        <f>SUM(BR111,BT111,BV111)</f>
        <v/>
      </c>
      <c r="BX111" s="45" t="n"/>
      <c r="BY111" s="114">
        <f>BD111 - IF(BP111="Y", 0, BO111) - IF(BX111="Y", 0, BW111)</f>
        <v/>
      </c>
      <c r="CK111" s="73" t="n"/>
      <c r="CL111" s="73" t="n"/>
      <c r="CM111" s="73" t="n"/>
      <c r="CN111" s="73" t="n"/>
      <c r="CO111" s="73" t="n"/>
      <c r="CP111" s="73" t="n"/>
      <c r="CQ111" s="73" t="n"/>
      <c r="CR111" s="73" t="n"/>
      <c r="CS111" s="73" t="n"/>
    </row>
    <row r="112" ht="13.5" customHeight="1">
      <c r="B112" s="47">
        <f>$B$3</f>
        <v/>
      </c>
      <c r="C112" s="48">
        <f>$C$3</f>
        <v/>
      </c>
      <c r="D112" s="40">
        <f>IF(SUM(COUNTIF(H112, "*"), COUNTIF(L112, "*"), COUNTIF(P112, "*"), COUNTIF(T112, "*"), COUNTIF(X112, "*"), COUNTIF(AB112, "*"), COUNTIF(AF112, "*"), COUNTIF(AJ112, "*"), COUNTIF(AN112, "*"), COUNTIF(AR112, "*"), COUNTIF(AV112, "*"), COUNTIF(AZ112, "*"))&gt;0, "Y", "N")</f>
        <v/>
      </c>
      <c r="E112" s="49" t="n"/>
      <c r="F112" s="49" t="n"/>
      <c r="G112" s="59" t="n">
        <v>49157</v>
      </c>
      <c r="H112" s="83" t="n"/>
      <c r="I112" s="49" t="n"/>
      <c r="J112" s="50" t="n"/>
      <c r="K112" s="115" t="n"/>
      <c r="L112" s="83" t="n"/>
      <c r="M112" s="49" t="n"/>
      <c r="N112" s="49" t="n"/>
      <c r="O112" s="115" t="n"/>
      <c r="P112" s="83" t="n"/>
      <c r="Q112" s="49" t="n"/>
      <c r="R112" s="49" t="n"/>
      <c r="S112" s="115" t="n"/>
      <c r="T112" s="83" t="n"/>
      <c r="U112" s="49" t="n"/>
      <c r="V112" s="49" t="n"/>
      <c r="W112" s="116" t="n"/>
      <c r="X112" s="83" t="n"/>
      <c r="Y112" s="49" t="n"/>
      <c r="Z112" s="49" t="n"/>
      <c r="AA112" s="115" t="n"/>
      <c r="AB112" s="83" t="n"/>
      <c r="AC112" s="49" t="n"/>
      <c r="AD112" s="49" t="n"/>
      <c r="AE112" s="115" t="n"/>
      <c r="AF112" s="83" t="n"/>
      <c r="AG112" s="49" t="n"/>
      <c r="AH112" s="49" t="n"/>
      <c r="AI112" s="115" t="n"/>
      <c r="AJ112" s="83" t="n"/>
      <c r="AK112" s="49" t="n"/>
      <c r="AL112" s="49" t="n"/>
      <c r="AM112" s="115" t="n"/>
      <c r="AN112" s="83" t="n"/>
      <c r="AO112" s="49" t="n"/>
      <c r="AP112" s="49" t="n"/>
      <c r="AQ112" s="117" t="n"/>
      <c r="AR112" s="83" t="n"/>
      <c r="AS112" s="49" t="n"/>
      <c r="AT112" s="50" t="n"/>
      <c r="AU112" s="115" t="n"/>
      <c r="AV112" s="83" t="n"/>
      <c r="AW112" s="49" t="n"/>
      <c r="AX112" s="49" t="n"/>
      <c r="AY112" s="115" t="n"/>
      <c r="AZ112" s="83" t="n"/>
      <c r="BA112" s="49" t="n"/>
      <c r="BB112" s="49" t="n"/>
      <c r="BC112" s="115" t="n"/>
      <c r="BD112" s="110">
        <f>SUM(K112,O112,S112,W112,AA112,AE112,AI112,AM112,AQ112,AU112,AY112,BC112)</f>
        <v/>
      </c>
      <c r="BE112" s="45" t="n"/>
      <c r="BF112" s="113" t="n"/>
      <c r="BG112" s="45" t="n"/>
      <c r="BH112" s="113" t="n"/>
      <c r="BI112" s="45" t="n"/>
      <c r="BJ112" s="113" t="n"/>
      <c r="BK112" s="45" t="n"/>
      <c r="BL112" s="113" t="n"/>
      <c r="BM112" s="45" t="n"/>
      <c r="BN112" s="113" t="n"/>
      <c r="BO112" s="114">
        <f>SUM(BF112,BH112,BJ112,BL112,BN112)</f>
        <v/>
      </c>
      <c r="BP112" s="45" t="n"/>
      <c r="BQ112" s="45" t="n"/>
      <c r="BR112" s="113" t="n"/>
      <c r="BS112" s="45" t="n"/>
      <c r="BT112" s="113" t="n"/>
      <c r="BU112" s="45" t="n"/>
      <c r="BV112" s="113" t="n"/>
      <c r="BW112" s="114">
        <f>SUM(BR112,BT112,BV112)</f>
        <v/>
      </c>
      <c r="BX112" s="45" t="n"/>
      <c r="BY112" s="114">
        <f>BD112 - IF(BP112="Y", 0, BO112) - IF(BX112="Y", 0, BW112)</f>
        <v/>
      </c>
      <c r="CK112" s="73" t="n"/>
      <c r="CL112" s="73" t="n"/>
      <c r="CM112" s="73" t="n"/>
      <c r="CN112" s="73" t="n"/>
      <c r="CO112" s="73" t="n"/>
      <c r="CP112" s="73" t="n"/>
      <c r="CQ112" s="73" t="n"/>
      <c r="CR112" s="73" t="n"/>
      <c r="CS112" s="73" t="n"/>
    </row>
    <row r="113" ht="13.5" customHeight="1">
      <c r="B113" s="47">
        <f>$B$3</f>
        <v/>
      </c>
      <c r="C113" s="48">
        <f>$C$3</f>
        <v/>
      </c>
      <c r="D113" s="40">
        <f>IF(SUM(COUNTIF(H113, "*"), COUNTIF(L113, "*"), COUNTIF(P113, "*"), COUNTIF(T113, "*"), COUNTIF(X113, "*"), COUNTIF(AB113, "*"), COUNTIF(AF113, "*"), COUNTIF(AJ113, "*"), COUNTIF(AN113, "*"), COUNTIF(AR113, "*"), COUNTIF(AV113, "*"), COUNTIF(AZ113, "*"))&gt;0, "Y", "N")</f>
        <v/>
      </c>
      <c r="E113" s="49" t="n"/>
      <c r="F113" s="49" t="n"/>
      <c r="G113" s="59" t="n">
        <v>49188</v>
      </c>
      <c r="H113" s="83" t="n"/>
      <c r="I113" s="49" t="n"/>
      <c r="J113" s="50" t="n"/>
      <c r="K113" s="115" t="n"/>
      <c r="L113" s="83" t="n"/>
      <c r="M113" s="49" t="n"/>
      <c r="N113" s="49" t="n"/>
      <c r="O113" s="115" t="n"/>
      <c r="P113" s="83" t="n"/>
      <c r="Q113" s="49" t="n"/>
      <c r="R113" s="49" t="n"/>
      <c r="S113" s="115" t="n"/>
      <c r="T113" s="83" t="n"/>
      <c r="U113" s="49" t="n"/>
      <c r="V113" s="49" t="n"/>
      <c r="W113" s="116" t="n"/>
      <c r="X113" s="83" t="n"/>
      <c r="Y113" s="49" t="n"/>
      <c r="Z113" s="49" t="n"/>
      <c r="AA113" s="115" t="n"/>
      <c r="AB113" s="83" t="n"/>
      <c r="AC113" s="49" t="n"/>
      <c r="AD113" s="49" t="n"/>
      <c r="AE113" s="115" t="n"/>
      <c r="AF113" s="83" t="n"/>
      <c r="AG113" s="49" t="n"/>
      <c r="AH113" s="49" t="n"/>
      <c r="AI113" s="115" t="n"/>
      <c r="AJ113" s="83" t="n"/>
      <c r="AK113" s="49" t="n"/>
      <c r="AL113" s="49" t="n"/>
      <c r="AM113" s="115" t="n"/>
      <c r="AN113" s="83" t="n"/>
      <c r="AO113" s="49" t="n"/>
      <c r="AP113" s="49" t="n"/>
      <c r="AQ113" s="117" t="n"/>
      <c r="AR113" s="83" t="n"/>
      <c r="AS113" s="49" t="n"/>
      <c r="AT113" s="50" t="n"/>
      <c r="AU113" s="115" t="n"/>
      <c r="AV113" s="83" t="n"/>
      <c r="AW113" s="49" t="n"/>
      <c r="AX113" s="49" t="n"/>
      <c r="AY113" s="115" t="n"/>
      <c r="AZ113" s="83" t="n"/>
      <c r="BA113" s="49" t="n"/>
      <c r="BB113" s="49" t="n"/>
      <c r="BC113" s="115" t="n"/>
      <c r="BD113" s="110">
        <f>SUM(K113,O113,S113,W113,AA113,AE113,AI113,AM113,AQ113,AU113,AY113,BC113)</f>
        <v/>
      </c>
      <c r="BE113" s="45" t="n"/>
      <c r="BF113" s="113" t="n"/>
      <c r="BG113" s="45" t="n"/>
      <c r="BH113" s="113" t="n"/>
      <c r="BI113" s="45" t="n"/>
      <c r="BJ113" s="113" t="n"/>
      <c r="BK113" s="45" t="n"/>
      <c r="BL113" s="113" t="n"/>
      <c r="BM113" s="45" t="n"/>
      <c r="BN113" s="113" t="n"/>
      <c r="BO113" s="114">
        <f>SUM(BF113,BH113,BJ113,BL113,BN113)</f>
        <v/>
      </c>
      <c r="BP113" s="45" t="n"/>
      <c r="BQ113" s="45" t="n"/>
      <c r="BR113" s="113" t="n"/>
      <c r="BS113" s="45" t="n"/>
      <c r="BT113" s="113" t="n"/>
      <c r="BU113" s="45" t="n"/>
      <c r="BV113" s="113" t="n"/>
      <c r="BW113" s="114">
        <f>SUM(BR113,BT113,BV113)</f>
        <v/>
      </c>
      <c r="BX113" s="45" t="n"/>
      <c r="BY113" s="114">
        <f>BD113 - IF(BP113="Y", 0, BO113) - IF(BX113="Y", 0, BW113)</f>
        <v/>
      </c>
      <c r="CK113" s="73" t="n"/>
      <c r="CL113" s="73" t="n"/>
      <c r="CM113" s="73" t="n"/>
      <c r="CN113" s="73" t="n"/>
      <c r="CO113" s="73" t="n"/>
      <c r="CP113" s="73" t="n"/>
      <c r="CQ113" s="73" t="n"/>
      <c r="CR113" s="73" t="n"/>
      <c r="CS113" s="73" t="n"/>
    </row>
    <row r="114" ht="13.5" customHeight="1">
      <c r="B114" s="47">
        <f>$B$3</f>
        <v/>
      </c>
      <c r="C114" s="48">
        <f>$C$3</f>
        <v/>
      </c>
      <c r="D114" s="40">
        <f>IF(SUM(COUNTIF(H114, "*"), COUNTIF(L114, "*"), COUNTIF(P114, "*"), COUNTIF(T114, "*"), COUNTIF(X114, "*"), COUNTIF(AB114, "*"), COUNTIF(AF114, "*"), COUNTIF(AJ114, "*"), COUNTIF(AN114, "*"), COUNTIF(AR114, "*"), COUNTIF(AV114, "*"), COUNTIF(AZ114, "*"))&gt;0, "Y", "N")</f>
        <v/>
      </c>
      <c r="E114" s="49" t="n"/>
      <c r="F114" s="49" t="n"/>
      <c r="G114" s="59" t="n">
        <v>49218</v>
      </c>
      <c r="H114" s="83" t="n"/>
      <c r="I114" s="49" t="n"/>
      <c r="J114" s="50" t="n"/>
      <c r="K114" s="115" t="n"/>
      <c r="L114" s="83" t="n"/>
      <c r="M114" s="49" t="n"/>
      <c r="N114" s="49" t="n"/>
      <c r="O114" s="115" t="n"/>
      <c r="P114" s="83" t="n"/>
      <c r="Q114" s="49" t="n"/>
      <c r="R114" s="49" t="n"/>
      <c r="S114" s="115" t="n"/>
      <c r="T114" s="83" t="n"/>
      <c r="U114" s="49" t="n"/>
      <c r="V114" s="49" t="n"/>
      <c r="W114" s="116" t="n"/>
      <c r="X114" s="83" t="n"/>
      <c r="Y114" s="49" t="n"/>
      <c r="Z114" s="49" t="n"/>
      <c r="AA114" s="115" t="n"/>
      <c r="AB114" s="83" t="n"/>
      <c r="AC114" s="49" t="n"/>
      <c r="AD114" s="49" t="n"/>
      <c r="AE114" s="115" t="n"/>
      <c r="AF114" s="83" t="n"/>
      <c r="AG114" s="49" t="n"/>
      <c r="AH114" s="49" t="n"/>
      <c r="AI114" s="115" t="n"/>
      <c r="AJ114" s="83" t="n"/>
      <c r="AK114" s="49" t="n"/>
      <c r="AL114" s="49" t="n"/>
      <c r="AM114" s="115" t="n"/>
      <c r="AN114" s="83" t="n"/>
      <c r="AO114" s="49" t="n"/>
      <c r="AP114" s="49" t="n"/>
      <c r="AQ114" s="117" t="n"/>
      <c r="AR114" s="83" t="n"/>
      <c r="AS114" s="49" t="n"/>
      <c r="AT114" s="50" t="n"/>
      <c r="AU114" s="115" t="n"/>
      <c r="AV114" s="83" t="n"/>
      <c r="AW114" s="49" t="n"/>
      <c r="AX114" s="49" t="n"/>
      <c r="AY114" s="115" t="n"/>
      <c r="AZ114" s="83" t="n"/>
      <c r="BA114" s="49" t="n"/>
      <c r="BB114" s="49" t="n"/>
      <c r="BC114" s="115" t="n"/>
      <c r="BD114" s="110">
        <f>SUM(K114,O114,S114,W114,AA114,AE114,AI114,AM114,AQ114,AU114,AY114,BC114)</f>
        <v/>
      </c>
      <c r="BE114" s="45" t="n"/>
      <c r="BF114" s="113" t="n"/>
      <c r="BG114" s="45" t="n"/>
      <c r="BH114" s="113" t="n"/>
      <c r="BI114" s="45" t="n"/>
      <c r="BJ114" s="113" t="n"/>
      <c r="BK114" s="45" t="n"/>
      <c r="BL114" s="113" t="n"/>
      <c r="BM114" s="45" t="n"/>
      <c r="BN114" s="113" t="n"/>
      <c r="BO114" s="114">
        <f>SUM(BF114,BH114,BJ114,BL114,BN114)</f>
        <v/>
      </c>
      <c r="BP114" s="45" t="n"/>
      <c r="BQ114" s="45" t="n"/>
      <c r="BR114" s="113" t="n"/>
      <c r="BS114" s="45" t="n"/>
      <c r="BT114" s="113" t="n"/>
      <c r="BU114" s="45" t="n"/>
      <c r="BV114" s="113" t="n"/>
      <c r="BW114" s="114">
        <f>SUM(BR114,BT114,BV114)</f>
        <v/>
      </c>
      <c r="BX114" s="45" t="n"/>
      <c r="BY114" s="114">
        <f>BD114 - IF(BP114="Y", 0, BO114) - IF(BX114="Y", 0, BW114)</f>
        <v/>
      </c>
      <c r="CK114" s="73" t="n"/>
      <c r="CL114" s="73" t="n"/>
      <c r="CM114" s="73" t="n"/>
      <c r="CN114" s="73" t="n"/>
      <c r="CO114" s="73" t="n"/>
      <c r="CP114" s="73" t="n"/>
      <c r="CQ114" s="73" t="n"/>
      <c r="CR114" s="73" t="n"/>
      <c r="CS114" s="73" t="n"/>
    </row>
    <row r="115" ht="13.5" customHeight="1">
      <c r="B115" s="47">
        <f>$B$3</f>
        <v/>
      </c>
      <c r="C115" s="48">
        <f>$C$3</f>
        <v/>
      </c>
      <c r="D115" s="40">
        <f>IF(SUM(COUNTIF(H115, "*"), COUNTIF(L115, "*"), COUNTIF(P115, "*"), COUNTIF(T115, "*"), COUNTIF(X115, "*"), COUNTIF(AB115, "*"), COUNTIF(AF115, "*"), COUNTIF(AJ115, "*"), COUNTIF(AN115, "*"), COUNTIF(AR115, "*"), COUNTIF(AV115, "*"), COUNTIF(AZ115, "*"))&gt;0, "Y", "N")</f>
        <v/>
      </c>
      <c r="E115" s="49" t="n"/>
      <c r="F115" s="49" t="n"/>
      <c r="G115" s="59" t="n">
        <v>49249</v>
      </c>
      <c r="H115" s="83" t="n"/>
      <c r="I115" s="49" t="n"/>
      <c r="J115" s="50" t="n"/>
      <c r="K115" s="115" t="n"/>
      <c r="L115" s="83" t="n"/>
      <c r="M115" s="49" t="n"/>
      <c r="N115" s="49" t="n"/>
      <c r="O115" s="115" t="n"/>
      <c r="P115" s="83" t="n"/>
      <c r="Q115" s="49" t="n"/>
      <c r="R115" s="49" t="n"/>
      <c r="S115" s="115" t="n"/>
      <c r="T115" s="83" t="n"/>
      <c r="U115" s="49" t="n"/>
      <c r="V115" s="49" t="n"/>
      <c r="W115" s="116" t="n"/>
      <c r="X115" s="83" t="n"/>
      <c r="Y115" s="49" t="n"/>
      <c r="Z115" s="49" t="n"/>
      <c r="AA115" s="115" t="n"/>
      <c r="AB115" s="83" t="n"/>
      <c r="AC115" s="49" t="n"/>
      <c r="AD115" s="49" t="n"/>
      <c r="AE115" s="115" t="n"/>
      <c r="AF115" s="83" t="n"/>
      <c r="AG115" s="49" t="n"/>
      <c r="AH115" s="49" t="n"/>
      <c r="AI115" s="115" t="n"/>
      <c r="AJ115" s="83" t="n"/>
      <c r="AK115" s="49" t="n"/>
      <c r="AL115" s="49" t="n"/>
      <c r="AM115" s="115" t="n"/>
      <c r="AN115" s="83" t="n"/>
      <c r="AO115" s="49" t="n"/>
      <c r="AP115" s="49" t="n"/>
      <c r="AQ115" s="117" t="n"/>
      <c r="AR115" s="83" t="n"/>
      <c r="AS115" s="49" t="n"/>
      <c r="AT115" s="50" t="n"/>
      <c r="AU115" s="115" t="n"/>
      <c r="AV115" s="83" t="n"/>
      <c r="AW115" s="49" t="n"/>
      <c r="AX115" s="49" t="n"/>
      <c r="AY115" s="115" t="n"/>
      <c r="AZ115" s="83" t="n"/>
      <c r="BA115" s="49" t="n"/>
      <c r="BB115" s="49" t="n"/>
      <c r="BC115" s="115" t="n"/>
      <c r="BD115" s="110">
        <f>SUM(K115,O115,S115,W115,AA115,AE115,AI115,AM115,AQ115,AU115,AY115,BC115)</f>
        <v/>
      </c>
      <c r="BE115" s="45" t="n"/>
      <c r="BF115" s="113" t="n"/>
      <c r="BG115" s="45" t="n"/>
      <c r="BH115" s="113" t="n"/>
      <c r="BI115" s="45" t="n"/>
      <c r="BJ115" s="113" t="n"/>
      <c r="BK115" s="45" t="n"/>
      <c r="BL115" s="113" t="n"/>
      <c r="BM115" s="45" t="n"/>
      <c r="BN115" s="113" t="n"/>
      <c r="BO115" s="114">
        <f>SUM(BF115,BH115,BJ115,BL115,BN115)</f>
        <v/>
      </c>
      <c r="BP115" s="45" t="n"/>
      <c r="BQ115" s="45" t="n"/>
      <c r="BR115" s="113" t="n"/>
      <c r="BS115" s="45" t="n"/>
      <c r="BT115" s="113" t="n"/>
      <c r="BU115" s="45" t="n"/>
      <c r="BV115" s="113" t="n"/>
      <c r="BW115" s="114">
        <f>SUM(BR115,BT115,BV115)</f>
        <v/>
      </c>
      <c r="BX115" s="45" t="n"/>
      <c r="BY115" s="114">
        <f>BD115 - IF(BP115="Y", 0, BO115) - IF(BX115="Y", 0, BW115)</f>
        <v/>
      </c>
      <c r="CK115" s="73" t="n"/>
      <c r="CL115" s="73" t="n"/>
      <c r="CM115" s="73" t="n"/>
      <c r="CN115" s="73" t="n"/>
      <c r="CO115" s="73" t="n"/>
      <c r="CP115" s="73" t="n"/>
      <c r="CQ115" s="73" t="n"/>
      <c r="CR115" s="73" t="n"/>
      <c r="CS115" s="73" t="n"/>
    </row>
    <row r="116" ht="13.5" customHeight="1">
      <c r="B116" s="47">
        <f>$B$3</f>
        <v/>
      </c>
      <c r="C116" s="48">
        <f>$C$3</f>
        <v/>
      </c>
      <c r="D116" s="40">
        <f>IF(SUM(COUNTIF(H116, "*"), COUNTIF(L116, "*"), COUNTIF(P116, "*"), COUNTIF(T116, "*"), COUNTIF(X116, "*"), COUNTIF(AB116, "*"), COUNTIF(AF116, "*"), COUNTIF(AJ116, "*"), COUNTIF(AN116, "*"), COUNTIF(AR116, "*"), COUNTIF(AV116, "*"), COUNTIF(AZ116, "*"))&gt;0, "Y", "N")</f>
        <v/>
      </c>
      <c r="E116" s="49" t="n"/>
      <c r="F116" s="49" t="n"/>
      <c r="G116" s="59" t="n">
        <v>49279</v>
      </c>
      <c r="H116" s="83" t="n"/>
      <c r="I116" s="49" t="n"/>
      <c r="J116" s="50" t="n"/>
      <c r="K116" s="115" t="n"/>
      <c r="L116" s="83" t="n"/>
      <c r="M116" s="49" t="n"/>
      <c r="N116" s="49" t="n"/>
      <c r="O116" s="115" t="n"/>
      <c r="P116" s="83" t="n"/>
      <c r="Q116" s="49" t="n"/>
      <c r="R116" s="49" t="n"/>
      <c r="S116" s="115" t="n"/>
      <c r="T116" s="83" t="n"/>
      <c r="U116" s="49" t="n"/>
      <c r="V116" s="49" t="n"/>
      <c r="W116" s="116" t="n"/>
      <c r="X116" s="83" t="n"/>
      <c r="Y116" s="49" t="n"/>
      <c r="Z116" s="49" t="n"/>
      <c r="AA116" s="115" t="n"/>
      <c r="AB116" s="83" t="n"/>
      <c r="AC116" s="49" t="n"/>
      <c r="AD116" s="49" t="n"/>
      <c r="AE116" s="115" t="n"/>
      <c r="AF116" s="83" t="n"/>
      <c r="AG116" s="49" t="n"/>
      <c r="AH116" s="49" t="n"/>
      <c r="AI116" s="115" t="n"/>
      <c r="AJ116" s="83" t="n"/>
      <c r="AK116" s="49" t="n"/>
      <c r="AL116" s="49" t="n"/>
      <c r="AM116" s="115" t="n"/>
      <c r="AN116" s="83" t="n"/>
      <c r="AO116" s="49" t="n"/>
      <c r="AP116" s="49" t="n"/>
      <c r="AQ116" s="117" t="n"/>
      <c r="AR116" s="83" t="n"/>
      <c r="AS116" s="49" t="n"/>
      <c r="AT116" s="50" t="n"/>
      <c r="AU116" s="115" t="n"/>
      <c r="AV116" s="83" t="n"/>
      <c r="AW116" s="49" t="n"/>
      <c r="AX116" s="49" t="n"/>
      <c r="AY116" s="115" t="n"/>
      <c r="AZ116" s="83" t="n"/>
      <c r="BA116" s="49" t="n"/>
      <c r="BB116" s="49" t="n"/>
      <c r="BC116" s="115" t="n"/>
      <c r="BD116" s="110">
        <f>SUM(K116,O116,S116,W116,AA116,AE116,AI116,AM116,AQ116,AU116,AY116,BC116)</f>
        <v/>
      </c>
      <c r="BE116" s="45" t="n"/>
      <c r="BF116" s="113" t="n"/>
      <c r="BG116" s="45" t="n"/>
      <c r="BH116" s="113" t="n"/>
      <c r="BI116" s="45" t="n"/>
      <c r="BJ116" s="113" t="n"/>
      <c r="BK116" s="45" t="n"/>
      <c r="BL116" s="113" t="n"/>
      <c r="BM116" s="45" t="n"/>
      <c r="BN116" s="113" t="n"/>
      <c r="BO116" s="114">
        <f>SUM(BF116,BH116,BJ116,BL116,BN116)</f>
        <v/>
      </c>
      <c r="BP116" s="45" t="n"/>
      <c r="BQ116" s="45" t="n"/>
      <c r="BR116" s="113" t="n"/>
      <c r="BS116" s="45" t="n"/>
      <c r="BT116" s="113" t="n"/>
      <c r="BU116" s="45" t="n"/>
      <c r="BV116" s="113" t="n"/>
      <c r="BW116" s="114">
        <f>SUM(BR116,BT116,BV116)</f>
        <v/>
      </c>
      <c r="BX116" s="45" t="n"/>
      <c r="BY116" s="114">
        <f>BD116 - IF(BP116="Y", 0, BO116) - IF(BX116="Y", 0, BW116)</f>
        <v/>
      </c>
      <c r="CK116" s="73" t="n"/>
      <c r="CL116" s="73" t="n"/>
      <c r="CM116" s="73" t="n"/>
      <c r="CN116" s="73" t="n"/>
      <c r="CO116" s="73" t="n"/>
      <c r="CP116" s="73" t="n"/>
      <c r="CQ116" s="73" t="n"/>
      <c r="CR116" s="73" t="n"/>
      <c r="CS116" s="73" t="n"/>
    </row>
    <row r="117" ht="13.5" customHeight="1">
      <c r="B117" s="47">
        <f>$B$3</f>
        <v/>
      </c>
      <c r="C117" s="48">
        <f>$C$3</f>
        <v/>
      </c>
      <c r="D117" s="40">
        <f>IF(SUM(COUNTIF(H117, "*"), COUNTIF(L117, "*"), COUNTIF(P117, "*"), COUNTIF(T117, "*"), COUNTIF(X117, "*"), COUNTIF(AB117, "*"), COUNTIF(AF117, "*"), COUNTIF(AJ117, "*"), COUNTIF(AN117, "*"), COUNTIF(AR117, "*"), COUNTIF(AV117, "*"), COUNTIF(AZ117, "*"))&gt;0, "Y", "N")</f>
        <v/>
      </c>
      <c r="E117" s="49" t="n"/>
      <c r="F117" s="49" t="n"/>
      <c r="G117" s="59" t="n">
        <v>49310</v>
      </c>
      <c r="H117" s="83" t="n"/>
      <c r="I117" s="49" t="n"/>
      <c r="J117" s="50" t="n"/>
      <c r="K117" s="115" t="n"/>
      <c r="L117" s="83" t="n"/>
      <c r="M117" s="49" t="n"/>
      <c r="N117" s="49" t="n"/>
      <c r="O117" s="115" t="n"/>
      <c r="P117" s="83" t="n"/>
      <c r="Q117" s="49" t="n"/>
      <c r="R117" s="49" t="n"/>
      <c r="S117" s="115" t="n"/>
      <c r="T117" s="83" t="n"/>
      <c r="U117" s="49" t="n"/>
      <c r="V117" s="49" t="n"/>
      <c r="W117" s="116" t="n"/>
      <c r="X117" s="83" t="n"/>
      <c r="Y117" s="49" t="n"/>
      <c r="Z117" s="49" t="n"/>
      <c r="AA117" s="115" t="n"/>
      <c r="AB117" s="83" t="n"/>
      <c r="AC117" s="49" t="n"/>
      <c r="AD117" s="49" t="n"/>
      <c r="AE117" s="115" t="n"/>
      <c r="AF117" s="83" t="n"/>
      <c r="AG117" s="49" t="n"/>
      <c r="AH117" s="49" t="n"/>
      <c r="AI117" s="115" t="n"/>
      <c r="AJ117" s="83" t="n"/>
      <c r="AK117" s="49" t="n"/>
      <c r="AL117" s="49" t="n"/>
      <c r="AM117" s="115" t="n"/>
      <c r="AN117" s="83" t="n"/>
      <c r="AO117" s="49" t="n"/>
      <c r="AP117" s="49" t="n"/>
      <c r="AQ117" s="117" t="n"/>
      <c r="AR117" s="83" t="n"/>
      <c r="AS117" s="49" t="n"/>
      <c r="AT117" s="50" t="n"/>
      <c r="AU117" s="115" t="n"/>
      <c r="AV117" s="83" t="n"/>
      <c r="AW117" s="49" t="n"/>
      <c r="AX117" s="49" t="n"/>
      <c r="AY117" s="115" t="n"/>
      <c r="AZ117" s="83" t="n"/>
      <c r="BA117" s="49" t="n"/>
      <c r="BB117" s="49" t="n"/>
      <c r="BC117" s="115" t="n"/>
      <c r="BD117" s="110">
        <f>SUM(K117,O117,S117,W117,AA117,AE117,AI117,AM117,AQ117,AU117,AY117,BC117)</f>
        <v/>
      </c>
      <c r="BE117" s="45" t="n"/>
      <c r="BF117" s="113" t="n"/>
      <c r="BG117" s="45" t="n"/>
      <c r="BH117" s="113" t="n"/>
      <c r="BI117" s="45" t="n"/>
      <c r="BJ117" s="113" t="n"/>
      <c r="BK117" s="45" t="n"/>
      <c r="BL117" s="113" t="n"/>
      <c r="BM117" s="45" t="n"/>
      <c r="BN117" s="113" t="n"/>
      <c r="BO117" s="114">
        <f>SUM(BF117,BH117,BJ117,BL117,BN117)</f>
        <v/>
      </c>
      <c r="BP117" s="45" t="n"/>
      <c r="BQ117" s="45" t="n"/>
      <c r="BR117" s="113" t="n"/>
      <c r="BS117" s="45" t="n"/>
      <c r="BT117" s="113" t="n"/>
      <c r="BU117" s="45" t="n"/>
      <c r="BV117" s="113" t="n"/>
      <c r="BW117" s="114">
        <f>SUM(BR117,BT117,BV117)</f>
        <v/>
      </c>
      <c r="BX117" s="45" t="n"/>
      <c r="BY117" s="114">
        <f>BD117 - IF(BP117="Y", 0, BO117) - IF(BX117="Y", 0, BW117)</f>
        <v/>
      </c>
      <c r="CK117" s="73" t="n"/>
      <c r="CL117" s="73" t="n"/>
      <c r="CM117" s="73" t="n"/>
      <c r="CN117" s="73" t="n"/>
      <c r="CO117" s="73" t="n"/>
      <c r="CP117" s="73" t="n"/>
      <c r="CQ117" s="73" t="n"/>
      <c r="CR117" s="73" t="n"/>
      <c r="CS117" s="73" t="n"/>
    </row>
    <row r="118" ht="13.5" customHeight="1">
      <c r="B118" s="47">
        <f>$B$3</f>
        <v/>
      </c>
      <c r="C118" s="48">
        <f>$C$3</f>
        <v/>
      </c>
      <c r="D118" s="40">
        <f>IF(SUM(COUNTIF(H118, "*"), COUNTIF(L118, "*"), COUNTIF(P118, "*"), COUNTIF(T118, "*"), COUNTIF(X118, "*"), COUNTIF(AB118, "*"), COUNTIF(AF118, "*"), COUNTIF(AJ118, "*"), COUNTIF(AN118, "*"), COUNTIF(AR118, "*"), COUNTIF(AV118, "*"), COUNTIF(AZ118, "*"))&gt;0, "Y", "N")</f>
        <v/>
      </c>
      <c r="E118" s="49" t="n"/>
      <c r="F118" s="49" t="n"/>
      <c r="G118" s="59" t="n">
        <v>49341</v>
      </c>
      <c r="H118" s="83" t="n"/>
      <c r="I118" s="49" t="n"/>
      <c r="J118" s="50" t="n"/>
      <c r="K118" s="115" t="n"/>
      <c r="L118" s="83" t="n"/>
      <c r="M118" s="49" t="n"/>
      <c r="N118" s="49" t="n"/>
      <c r="O118" s="115" t="n"/>
      <c r="P118" s="83" t="n"/>
      <c r="Q118" s="49" t="n"/>
      <c r="R118" s="49" t="n"/>
      <c r="S118" s="115" t="n"/>
      <c r="T118" s="83" t="n"/>
      <c r="U118" s="49" t="n"/>
      <c r="V118" s="49" t="n"/>
      <c r="W118" s="116" t="n"/>
      <c r="X118" s="83" t="n"/>
      <c r="Y118" s="49" t="n"/>
      <c r="Z118" s="49" t="n"/>
      <c r="AA118" s="115" t="n"/>
      <c r="AB118" s="83" t="n"/>
      <c r="AC118" s="49" t="n"/>
      <c r="AD118" s="49" t="n"/>
      <c r="AE118" s="115" t="n"/>
      <c r="AF118" s="83" t="n"/>
      <c r="AG118" s="49" t="n"/>
      <c r="AH118" s="49" t="n"/>
      <c r="AI118" s="115" t="n"/>
      <c r="AJ118" s="83" t="n"/>
      <c r="AK118" s="49" t="n"/>
      <c r="AL118" s="49" t="n"/>
      <c r="AM118" s="115" t="n"/>
      <c r="AN118" s="83" t="n"/>
      <c r="AO118" s="49" t="n"/>
      <c r="AP118" s="49" t="n"/>
      <c r="AQ118" s="117" t="n"/>
      <c r="AR118" s="83" t="n"/>
      <c r="AS118" s="49" t="n"/>
      <c r="AT118" s="50" t="n"/>
      <c r="AU118" s="115" t="n"/>
      <c r="AV118" s="83" t="n"/>
      <c r="AW118" s="49" t="n"/>
      <c r="AX118" s="49" t="n"/>
      <c r="AY118" s="115" t="n"/>
      <c r="AZ118" s="83" t="n"/>
      <c r="BA118" s="49" t="n"/>
      <c r="BB118" s="49" t="n"/>
      <c r="BC118" s="115" t="n"/>
      <c r="BD118" s="110">
        <f>SUM(K118,O118,S118,W118,AA118,AE118,AI118,AM118,AQ118,AU118,AY118,BC118)</f>
        <v/>
      </c>
      <c r="BE118" s="45" t="n"/>
      <c r="BF118" s="113" t="n"/>
      <c r="BG118" s="45" t="n"/>
      <c r="BH118" s="113" t="n"/>
      <c r="BI118" s="45" t="n"/>
      <c r="BJ118" s="113" t="n"/>
      <c r="BK118" s="45" t="n"/>
      <c r="BL118" s="113" t="n"/>
      <c r="BM118" s="45" t="n"/>
      <c r="BN118" s="113" t="n"/>
      <c r="BO118" s="114">
        <f>SUM(BF118,BH118,BJ118,BL118,BN118)</f>
        <v/>
      </c>
      <c r="BP118" s="45" t="n"/>
      <c r="BQ118" s="45" t="n"/>
      <c r="BR118" s="113" t="n"/>
      <c r="BS118" s="45" t="n"/>
      <c r="BT118" s="113" t="n"/>
      <c r="BU118" s="45" t="n"/>
      <c r="BV118" s="113" t="n"/>
      <c r="BW118" s="114">
        <f>SUM(BR118,BT118,BV118)</f>
        <v/>
      </c>
      <c r="BX118" s="45" t="n"/>
      <c r="BY118" s="114">
        <f>BD118 - IF(BP118="Y", 0, BO118) - IF(BX118="Y", 0, BW118)</f>
        <v/>
      </c>
      <c r="CK118" s="73" t="n"/>
      <c r="CL118" s="73" t="n"/>
      <c r="CM118" s="73" t="n"/>
      <c r="CN118" s="73" t="n"/>
      <c r="CO118" s="73" t="n"/>
      <c r="CP118" s="73" t="n"/>
      <c r="CQ118" s="73" t="n"/>
      <c r="CR118" s="73" t="n"/>
      <c r="CS118" s="73" t="n"/>
    </row>
    <row r="119" ht="13.5" customHeight="1">
      <c r="B119" s="47">
        <f>$B$3</f>
        <v/>
      </c>
      <c r="C119" s="48">
        <f>$C$3</f>
        <v/>
      </c>
      <c r="D119" s="40">
        <f>IF(SUM(COUNTIF(H119, "*"), COUNTIF(L119, "*"), COUNTIF(P119, "*"), COUNTIF(T119, "*"), COUNTIF(X119, "*"), COUNTIF(AB119, "*"), COUNTIF(AF119, "*"), COUNTIF(AJ119, "*"), COUNTIF(AN119, "*"), COUNTIF(AR119, "*"), COUNTIF(AV119, "*"), COUNTIF(AZ119, "*"))&gt;0, "Y", "N")</f>
        <v/>
      </c>
      <c r="E119" s="49" t="n"/>
      <c r="F119" s="49" t="n"/>
      <c r="G119" s="59" t="n">
        <v>49369</v>
      </c>
      <c r="H119" s="83" t="n"/>
      <c r="I119" s="49" t="n"/>
      <c r="J119" s="50" t="n"/>
      <c r="K119" s="115" t="n"/>
      <c r="L119" s="83" t="n"/>
      <c r="M119" s="49" t="n"/>
      <c r="N119" s="49" t="n"/>
      <c r="O119" s="115" t="n"/>
      <c r="P119" s="83" t="n"/>
      <c r="Q119" s="49" t="n"/>
      <c r="R119" s="49" t="n"/>
      <c r="S119" s="115" t="n"/>
      <c r="T119" s="83" t="n"/>
      <c r="U119" s="49" t="n"/>
      <c r="V119" s="49" t="n"/>
      <c r="W119" s="116" t="n"/>
      <c r="X119" s="83" t="n"/>
      <c r="Y119" s="49" t="n"/>
      <c r="Z119" s="49" t="n"/>
      <c r="AA119" s="115" t="n"/>
      <c r="AB119" s="83" t="n"/>
      <c r="AC119" s="49" t="n"/>
      <c r="AD119" s="49" t="n"/>
      <c r="AE119" s="115" t="n"/>
      <c r="AF119" s="83" t="n"/>
      <c r="AG119" s="49" t="n"/>
      <c r="AH119" s="49" t="n"/>
      <c r="AI119" s="115" t="n"/>
      <c r="AJ119" s="83" t="n"/>
      <c r="AK119" s="49" t="n"/>
      <c r="AL119" s="49" t="n"/>
      <c r="AM119" s="115" t="n"/>
      <c r="AN119" s="83" t="n"/>
      <c r="AO119" s="49" t="n"/>
      <c r="AP119" s="49" t="n"/>
      <c r="AQ119" s="117" t="n"/>
      <c r="AR119" s="83" t="n"/>
      <c r="AS119" s="49" t="n"/>
      <c r="AT119" s="50" t="n"/>
      <c r="AU119" s="115" t="n"/>
      <c r="AV119" s="83" t="n"/>
      <c r="AW119" s="49" t="n"/>
      <c r="AX119" s="49" t="n"/>
      <c r="AY119" s="115" t="n"/>
      <c r="AZ119" s="83" t="n"/>
      <c r="BA119" s="49" t="n"/>
      <c r="BB119" s="49" t="n"/>
      <c r="BC119" s="115" t="n"/>
      <c r="BD119" s="110">
        <f>SUM(K119,O119,S119,W119,AA119,AE119,AI119,AM119,AQ119,AU119,AY119,BC119)</f>
        <v/>
      </c>
      <c r="BE119" s="45" t="n"/>
      <c r="BF119" s="113" t="n"/>
      <c r="BG119" s="45" t="n"/>
      <c r="BH119" s="113" t="n"/>
      <c r="BI119" s="45" t="n"/>
      <c r="BJ119" s="113" t="n"/>
      <c r="BK119" s="45" t="n"/>
      <c r="BL119" s="113" t="n"/>
      <c r="BM119" s="45" t="n"/>
      <c r="BN119" s="113" t="n"/>
      <c r="BO119" s="114">
        <f>SUM(BF119,BH119,BJ119,BL119,BN119)</f>
        <v/>
      </c>
      <c r="BP119" s="45" t="n"/>
      <c r="BQ119" s="45" t="n"/>
      <c r="BR119" s="113" t="n"/>
      <c r="BS119" s="45" t="n"/>
      <c r="BT119" s="113" t="n"/>
      <c r="BU119" s="45" t="n"/>
      <c r="BV119" s="113" t="n"/>
      <c r="BW119" s="114">
        <f>SUM(BR119,BT119,BV119)</f>
        <v/>
      </c>
      <c r="BX119" s="45" t="n"/>
      <c r="BY119" s="114">
        <f>BD119 - IF(BP119="Y", 0, BO119) - IF(BX119="Y", 0, BW119)</f>
        <v/>
      </c>
      <c r="CK119" s="73" t="n"/>
      <c r="CL119" s="73" t="n"/>
      <c r="CM119" s="73" t="n"/>
      <c r="CN119" s="73" t="n"/>
      <c r="CO119" s="73" t="n"/>
      <c r="CP119" s="73" t="n"/>
      <c r="CQ119" s="73" t="n"/>
      <c r="CR119" s="73" t="n"/>
      <c r="CS119" s="73" t="n"/>
    </row>
    <row r="120" ht="13.5" customHeight="1">
      <c r="B120" s="47">
        <f>$B$3</f>
        <v/>
      </c>
      <c r="C120" s="48">
        <f>$C$3</f>
        <v/>
      </c>
      <c r="D120" s="40">
        <f>IF(SUM(COUNTIF(H120, "*"), COUNTIF(L120, "*"), COUNTIF(P120, "*"), COUNTIF(T120, "*"), COUNTIF(X120, "*"), COUNTIF(AB120, "*"), COUNTIF(AF120, "*"), COUNTIF(AJ120, "*"), COUNTIF(AN120, "*"), COUNTIF(AR120, "*"), COUNTIF(AV120, "*"), COUNTIF(AZ120, "*"))&gt;0, "Y", "N")</f>
        <v/>
      </c>
      <c r="E120" s="49" t="n"/>
      <c r="F120" s="49" t="n"/>
      <c r="G120" s="59" t="n">
        <v>49400</v>
      </c>
      <c r="H120" s="83" t="n"/>
      <c r="I120" s="49" t="n"/>
      <c r="J120" s="50" t="n"/>
      <c r="K120" s="115" t="n"/>
      <c r="L120" s="83" t="n"/>
      <c r="M120" s="49" t="n"/>
      <c r="N120" s="49" t="n"/>
      <c r="O120" s="115" t="n"/>
      <c r="P120" s="83" t="n"/>
      <c r="Q120" s="49" t="n"/>
      <c r="R120" s="49" t="n"/>
      <c r="S120" s="115" t="n"/>
      <c r="T120" s="83" t="n"/>
      <c r="U120" s="49" t="n"/>
      <c r="V120" s="49" t="n"/>
      <c r="W120" s="116" t="n"/>
      <c r="X120" s="83" t="n"/>
      <c r="Y120" s="49" t="n"/>
      <c r="Z120" s="49" t="n"/>
      <c r="AA120" s="115" t="n"/>
      <c r="AB120" s="83" t="n"/>
      <c r="AC120" s="49" t="n"/>
      <c r="AD120" s="49" t="n"/>
      <c r="AE120" s="115" t="n"/>
      <c r="AF120" s="83" t="n"/>
      <c r="AG120" s="49" t="n"/>
      <c r="AH120" s="49" t="n"/>
      <c r="AI120" s="115" t="n"/>
      <c r="AJ120" s="83" t="n"/>
      <c r="AK120" s="49" t="n"/>
      <c r="AL120" s="49" t="n"/>
      <c r="AM120" s="115" t="n"/>
      <c r="AN120" s="83" t="n"/>
      <c r="AO120" s="49" t="n"/>
      <c r="AP120" s="49" t="n"/>
      <c r="AQ120" s="117" t="n"/>
      <c r="AR120" s="83" t="n"/>
      <c r="AS120" s="49" t="n"/>
      <c r="AT120" s="50" t="n"/>
      <c r="AU120" s="115" t="n"/>
      <c r="AV120" s="83" t="n"/>
      <c r="AW120" s="49" t="n"/>
      <c r="AX120" s="49" t="n"/>
      <c r="AY120" s="115" t="n"/>
      <c r="AZ120" s="83" t="n"/>
      <c r="BA120" s="49" t="n"/>
      <c r="BB120" s="49" t="n"/>
      <c r="BC120" s="115" t="n"/>
      <c r="BD120" s="110">
        <f>SUM(K120,O120,S120,W120,AA120,AE120,AI120,AM120,AQ120,AU120,AY120,BC120)</f>
        <v/>
      </c>
      <c r="BE120" s="45" t="n"/>
      <c r="BF120" s="113" t="n"/>
      <c r="BG120" s="45" t="n"/>
      <c r="BH120" s="113" t="n"/>
      <c r="BI120" s="45" t="n"/>
      <c r="BJ120" s="113" t="n"/>
      <c r="BK120" s="45" t="n"/>
      <c r="BL120" s="113" t="n"/>
      <c r="BM120" s="45" t="n"/>
      <c r="BN120" s="113" t="n"/>
      <c r="BO120" s="114">
        <f>SUM(BF120,BH120,BJ120,BL120,BN120)</f>
        <v/>
      </c>
      <c r="BP120" s="45" t="n"/>
      <c r="BQ120" s="45" t="n"/>
      <c r="BR120" s="113" t="n"/>
      <c r="BS120" s="45" t="n"/>
      <c r="BT120" s="113" t="n"/>
      <c r="BU120" s="45" t="n"/>
      <c r="BV120" s="113" t="n"/>
      <c r="BW120" s="114">
        <f>SUM(BR120,BT120,BV120)</f>
        <v/>
      </c>
      <c r="BX120" s="45" t="n"/>
      <c r="BY120" s="114">
        <f>BD120 - IF(BP120="Y", 0, BO120) - IF(BX120="Y", 0, BW120)</f>
        <v/>
      </c>
      <c r="CK120" s="73" t="n"/>
      <c r="CL120" s="73" t="n"/>
      <c r="CM120" s="73" t="n"/>
      <c r="CN120" s="73" t="n"/>
      <c r="CO120" s="73" t="n"/>
      <c r="CP120" s="73" t="n"/>
      <c r="CQ120" s="73" t="n"/>
      <c r="CR120" s="73" t="n"/>
      <c r="CS120" s="73" t="n"/>
    </row>
    <row r="121" ht="13.5" customHeight="1">
      <c r="B121" s="47">
        <f>$B$3</f>
        <v/>
      </c>
      <c r="C121" s="48">
        <f>$C$3</f>
        <v/>
      </c>
      <c r="D121" s="40">
        <f>IF(SUM(COUNTIF(H121, "*"), COUNTIF(L121, "*"), COUNTIF(P121, "*"), COUNTIF(T121, "*"), COUNTIF(X121, "*"), COUNTIF(AB121, "*"), COUNTIF(AF121, "*"), COUNTIF(AJ121, "*"), COUNTIF(AN121, "*"), COUNTIF(AR121, "*"), COUNTIF(AV121, "*"), COUNTIF(AZ121, "*"))&gt;0, "Y", "N")</f>
        <v/>
      </c>
      <c r="E121" s="49" t="n"/>
      <c r="F121" s="49" t="n"/>
      <c r="G121" s="59" t="n">
        <v>49430</v>
      </c>
      <c r="H121" s="83" t="n"/>
      <c r="I121" s="49" t="n"/>
      <c r="J121" s="50" t="n"/>
      <c r="K121" s="115" t="n"/>
      <c r="L121" s="83" t="n"/>
      <c r="M121" s="49" t="n"/>
      <c r="N121" s="49" t="n"/>
      <c r="O121" s="115" t="n"/>
      <c r="P121" s="83" t="n"/>
      <c r="Q121" s="49" t="n"/>
      <c r="R121" s="49" t="n"/>
      <c r="S121" s="115" t="n"/>
      <c r="T121" s="83" t="n"/>
      <c r="U121" s="49" t="n"/>
      <c r="V121" s="49" t="n"/>
      <c r="W121" s="116" t="n"/>
      <c r="X121" s="83" t="n"/>
      <c r="Y121" s="49" t="n"/>
      <c r="Z121" s="49" t="n"/>
      <c r="AA121" s="115" t="n"/>
      <c r="AB121" s="83" t="n"/>
      <c r="AC121" s="49" t="n"/>
      <c r="AD121" s="49" t="n"/>
      <c r="AE121" s="115" t="n"/>
      <c r="AF121" s="83" t="n"/>
      <c r="AG121" s="49" t="n"/>
      <c r="AH121" s="49" t="n"/>
      <c r="AI121" s="115" t="n"/>
      <c r="AJ121" s="83" t="n"/>
      <c r="AK121" s="49" t="n"/>
      <c r="AL121" s="49" t="n"/>
      <c r="AM121" s="115" t="n"/>
      <c r="AN121" s="83" t="n"/>
      <c r="AO121" s="49" t="n"/>
      <c r="AP121" s="49" t="n"/>
      <c r="AQ121" s="117" t="n"/>
      <c r="AR121" s="83" t="n"/>
      <c r="AS121" s="49" t="n"/>
      <c r="AT121" s="50" t="n"/>
      <c r="AU121" s="115" t="n"/>
      <c r="AV121" s="83" t="n"/>
      <c r="AW121" s="49" t="n"/>
      <c r="AX121" s="49" t="n"/>
      <c r="AY121" s="115" t="n"/>
      <c r="AZ121" s="83" t="n"/>
      <c r="BA121" s="49" t="n"/>
      <c r="BB121" s="49" t="n"/>
      <c r="BC121" s="115" t="n"/>
      <c r="BD121" s="110">
        <f>SUM(K121,O121,S121,W121,AA121,AE121,AI121,AM121,AQ121,AU121,AY121,BC121)</f>
        <v/>
      </c>
      <c r="BE121" s="45" t="n"/>
      <c r="BF121" s="113" t="n"/>
      <c r="BG121" s="45" t="n"/>
      <c r="BH121" s="113" t="n"/>
      <c r="BI121" s="45" t="n"/>
      <c r="BJ121" s="113" t="n"/>
      <c r="BK121" s="45" t="n"/>
      <c r="BL121" s="113" t="n"/>
      <c r="BM121" s="45" t="n"/>
      <c r="BN121" s="113" t="n"/>
      <c r="BO121" s="114">
        <f>SUM(BF121,BH121,BJ121,BL121,BN121)</f>
        <v/>
      </c>
      <c r="BP121" s="45" t="n"/>
      <c r="BQ121" s="45" t="n"/>
      <c r="BR121" s="113" t="n"/>
      <c r="BS121" s="45" t="n"/>
      <c r="BT121" s="113" t="n"/>
      <c r="BU121" s="45" t="n"/>
      <c r="BV121" s="113" t="n"/>
      <c r="BW121" s="114">
        <f>SUM(BR121,BT121,BV121)</f>
        <v/>
      </c>
      <c r="BX121" s="45" t="n"/>
      <c r="BY121" s="114">
        <f>BD121 - IF(BP121="Y", 0, BO121) - IF(BX121="Y", 0, BW121)</f>
        <v/>
      </c>
      <c r="CK121" s="73" t="n"/>
      <c r="CL121" s="73" t="n"/>
      <c r="CM121" s="73" t="n"/>
      <c r="CN121" s="73" t="n"/>
      <c r="CO121" s="73" t="n"/>
      <c r="CP121" s="73" t="n"/>
      <c r="CQ121" s="73" t="n"/>
      <c r="CR121" s="73" t="n"/>
      <c r="CS121" s="73" t="n"/>
    </row>
    <row r="122" ht="13.5" customHeight="1">
      <c r="B122" s="47">
        <f>$B$3</f>
        <v/>
      </c>
      <c r="C122" s="48">
        <f>$C$3</f>
        <v/>
      </c>
      <c r="D122" s="40">
        <f>IF(SUM(COUNTIF(H122, "*"), COUNTIF(L122, "*"), COUNTIF(P122, "*"), COUNTIF(T122, "*"), COUNTIF(X122, "*"), COUNTIF(AB122, "*"), COUNTIF(AF122, "*"), COUNTIF(AJ122, "*"), COUNTIF(AN122, "*"), COUNTIF(AR122, "*"), COUNTIF(AV122, "*"), COUNTIF(AZ122, "*"))&gt;0, "Y", "N")</f>
        <v/>
      </c>
      <c r="E122" s="49" t="n"/>
      <c r="F122" s="49" t="n"/>
      <c r="G122" s="59" t="n">
        <v>49461</v>
      </c>
      <c r="H122" s="83" t="n"/>
      <c r="I122" s="49" t="n"/>
      <c r="J122" s="50" t="n"/>
      <c r="K122" s="115" t="n"/>
      <c r="L122" s="83" t="n"/>
      <c r="M122" s="49" t="n"/>
      <c r="N122" s="49" t="n"/>
      <c r="O122" s="115" t="n"/>
      <c r="P122" s="83" t="n"/>
      <c r="Q122" s="49" t="n"/>
      <c r="R122" s="49" t="n"/>
      <c r="S122" s="115" t="n"/>
      <c r="T122" s="83" t="n"/>
      <c r="U122" s="49" t="n"/>
      <c r="V122" s="49" t="n"/>
      <c r="W122" s="116" t="n"/>
      <c r="X122" s="83" t="n"/>
      <c r="Y122" s="49" t="n"/>
      <c r="Z122" s="49" t="n"/>
      <c r="AA122" s="115" t="n"/>
      <c r="AB122" s="83" t="n"/>
      <c r="AC122" s="49" t="n"/>
      <c r="AD122" s="49" t="n"/>
      <c r="AE122" s="115" t="n"/>
      <c r="AF122" s="83" t="n"/>
      <c r="AG122" s="49" t="n"/>
      <c r="AH122" s="49" t="n"/>
      <c r="AI122" s="115" t="n"/>
      <c r="AJ122" s="83" t="n"/>
      <c r="AK122" s="49" t="n"/>
      <c r="AL122" s="49" t="n"/>
      <c r="AM122" s="115" t="n"/>
      <c r="AN122" s="83" t="n"/>
      <c r="AO122" s="49" t="n"/>
      <c r="AP122" s="49" t="n"/>
      <c r="AQ122" s="117" t="n"/>
      <c r="AR122" s="83" t="n"/>
      <c r="AS122" s="49" t="n"/>
      <c r="AT122" s="50" t="n"/>
      <c r="AU122" s="115" t="n"/>
      <c r="AV122" s="83" t="n"/>
      <c r="AW122" s="49" t="n"/>
      <c r="AX122" s="49" t="n"/>
      <c r="AY122" s="115" t="n"/>
      <c r="AZ122" s="83" t="n"/>
      <c r="BA122" s="49" t="n"/>
      <c r="BB122" s="49" t="n"/>
      <c r="BC122" s="115" t="n"/>
      <c r="BD122" s="110">
        <f>SUM(K122,O122,S122,W122,AA122,AE122,AI122,AM122,AQ122,AU122,AY122,BC122)</f>
        <v/>
      </c>
      <c r="BE122" s="45" t="n"/>
      <c r="BF122" s="113" t="n"/>
      <c r="BG122" s="45" t="n"/>
      <c r="BH122" s="113" t="n"/>
      <c r="BI122" s="45" t="n"/>
      <c r="BJ122" s="113" t="n"/>
      <c r="BK122" s="45" t="n"/>
      <c r="BL122" s="113" t="n"/>
      <c r="BM122" s="45" t="n"/>
      <c r="BN122" s="113" t="n"/>
      <c r="BO122" s="114">
        <f>SUM(BF122,BH122,BJ122,BL122,BN122)</f>
        <v/>
      </c>
      <c r="BP122" s="45" t="n"/>
      <c r="BQ122" s="45" t="n"/>
      <c r="BR122" s="113" t="n"/>
      <c r="BS122" s="45" t="n"/>
      <c r="BT122" s="113" t="n"/>
      <c r="BU122" s="45" t="n"/>
      <c r="BV122" s="113" t="n"/>
      <c r="BW122" s="114">
        <f>SUM(BR122,BT122,BV122)</f>
        <v/>
      </c>
      <c r="BX122" s="45" t="n"/>
      <c r="BY122" s="114">
        <f>BD122 - IF(BP122="Y", 0, BO122) - IF(BX122="Y", 0, BW122)</f>
        <v/>
      </c>
      <c r="CK122" s="73" t="n"/>
      <c r="CL122" s="73" t="n"/>
      <c r="CM122" s="73" t="n"/>
      <c r="CN122" s="73" t="n"/>
      <c r="CO122" s="73" t="n"/>
      <c r="CP122" s="73" t="n"/>
      <c r="CQ122" s="73" t="n"/>
      <c r="CR122" s="73" t="n"/>
      <c r="CS122" s="73" t="n"/>
    </row>
    <row r="123" ht="13.5" customHeight="1">
      <c r="B123" s="47">
        <f>$B$3</f>
        <v/>
      </c>
      <c r="C123" s="48">
        <f>$C$3</f>
        <v/>
      </c>
      <c r="D123" s="40">
        <f>IF(SUM(COUNTIF(H123, "*"), COUNTIF(L123, "*"), COUNTIF(P123, "*"), COUNTIF(T123, "*"), COUNTIF(X123, "*"), COUNTIF(AB123, "*"), COUNTIF(AF123, "*"), COUNTIF(AJ123, "*"), COUNTIF(AN123, "*"), COUNTIF(AR123, "*"), COUNTIF(AV123, "*"), COUNTIF(AZ123, "*"))&gt;0, "Y", "N")</f>
        <v/>
      </c>
      <c r="E123" s="49" t="n"/>
      <c r="F123" s="49" t="n"/>
      <c r="G123" s="59" t="n">
        <v>49491</v>
      </c>
      <c r="H123" s="83" t="n"/>
      <c r="I123" s="49" t="n"/>
      <c r="J123" s="50" t="n"/>
      <c r="K123" s="115" t="n"/>
      <c r="L123" s="83" t="n"/>
      <c r="M123" s="49" t="n"/>
      <c r="N123" s="49" t="n"/>
      <c r="O123" s="115" t="n"/>
      <c r="P123" s="83" t="n"/>
      <c r="Q123" s="49" t="n"/>
      <c r="R123" s="49" t="n"/>
      <c r="S123" s="115" t="n"/>
      <c r="T123" s="83" t="n"/>
      <c r="U123" s="49" t="n"/>
      <c r="V123" s="49" t="n"/>
      <c r="W123" s="116" t="n"/>
      <c r="X123" s="83" t="n"/>
      <c r="Y123" s="49" t="n"/>
      <c r="Z123" s="49" t="n"/>
      <c r="AA123" s="115" t="n"/>
      <c r="AB123" s="83" t="n"/>
      <c r="AC123" s="49" t="n"/>
      <c r="AD123" s="49" t="n"/>
      <c r="AE123" s="115" t="n"/>
      <c r="AF123" s="83" t="n"/>
      <c r="AG123" s="49" t="n"/>
      <c r="AH123" s="49" t="n"/>
      <c r="AI123" s="115" t="n"/>
      <c r="AJ123" s="83" t="n"/>
      <c r="AK123" s="49" t="n"/>
      <c r="AL123" s="49" t="n"/>
      <c r="AM123" s="115" t="n"/>
      <c r="AN123" s="83" t="n"/>
      <c r="AO123" s="49" t="n"/>
      <c r="AP123" s="49" t="n"/>
      <c r="AQ123" s="117" t="n"/>
      <c r="AR123" s="83" t="n"/>
      <c r="AS123" s="49" t="n"/>
      <c r="AT123" s="50" t="n"/>
      <c r="AU123" s="115" t="n"/>
      <c r="AV123" s="83" t="n"/>
      <c r="AW123" s="49" t="n"/>
      <c r="AX123" s="49" t="n"/>
      <c r="AY123" s="115" t="n"/>
      <c r="AZ123" s="83" t="n"/>
      <c r="BA123" s="49" t="n"/>
      <c r="BB123" s="49" t="n"/>
      <c r="BC123" s="115" t="n"/>
      <c r="BD123" s="110">
        <f>SUM(K123,O123,S123,W123,AA123,AE123,AI123,AM123,AQ123,AU123,AY123,BC123)</f>
        <v/>
      </c>
      <c r="BE123" s="45" t="n"/>
      <c r="BF123" s="113" t="n"/>
      <c r="BG123" s="45" t="n"/>
      <c r="BH123" s="113" t="n"/>
      <c r="BI123" s="45" t="n"/>
      <c r="BJ123" s="113" t="n"/>
      <c r="BK123" s="45" t="n"/>
      <c r="BL123" s="113" t="n"/>
      <c r="BM123" s="45" t="n"/>
      <c r="BN123" s="113" t="n"/>
      <c r="BO123" s="114">
        <f>SUM(BF123,BH123,BJ123,BL123,BN123)</f>
        <v/>
      </c>
      <c r="BP123" s="45" t="n"/>
      <c r="BQ123" s="45" t="n"/>
      <c r="BR123" s="113" t="n"/>
      <c r="BS123" s="45" t="n"/>
      <c r="BT123" s="113" t="n"/>
      <c r="BU123" s="45" t="n"/>
      <c r="BV123" s="113" t="n"/>
      <c r="BW123" s="114">
        <f>SUM(BR123,BT123,BV123)</f>
        <v/>
      </c>
      <c r="BX123" s="45" t="n"/>
      <c r="BY123" s="114">
        <f>BD123 - IF(BP123="Y", 0, BO123) - IF(BX123="Y", 0, BW123)</f>
        <v/>
      </c>
      <c r="CK123" s="73" t="n"/>
      <c r="CL123" s="73" t="n"/>
      <c r="CM123" s="73" t="n"/>
      <c r="CN123" s="73" t="n"/>
      <c r="CO123" s="73" t="n"/>
      <c r="CP123" s="73" t="n"/>
      <c r="CQ123" s="73" t="n"/>
      <c r="CR123" s="73" t="n"/>
      <c r="CS123" s="73" t="n"/>
    </row>
    <row r="124" ht="13.5" customHeight="1">
      <c r="B124" s="47">
        <f>$B$3</f>
        <v/>
      </c>
      <c r="C124" s="48">
        <f>$C$3</f>
        <v/>
      </c>
      <c r="D124" s="40">
        <f>IF(SUM(COUNTIF(H124, "*"), COUNTIF(L124, "*"), COUNTIF(P124, "*"), COUNTIF(T124, "*"), COUNTIF(X124, "*"), COUNTIF(AB124, "*"), COUNTIF(AF124, "*"), COUNTIF(AJ124, "*"), COUNTIF(AN124, "*"), COUNTIF(AR124, "*"), COUNTIF(AV124, "*"), COUNTIF(AZ124, "*"))&gt;0, "Y", "N")</f>
        <v/>
      </c>
      <c r="E124" s="49" t="n"/>
      <c r="F124" s="49" t="n"/>
      <c r="G124" s="59" t="n">
        <v>49522</v>
      </c>
      <c r="H124" s="83" t="n"/>
      <c r="I124" s="49" t="n"/>
      <c r="J124" s="50" t="n"/>
      <c r="K124" s="115" t="n"/>
      <c r="L124" s="83" t="n"/>
      <c r="M124" s="49" t="n"/>
      <c r="N124" s="49" t="n"/>
      <c r="O124" s="115" t="n"/>
      <c r="P124" s="83" t="n"/>
      <c r="Q124" s="49" t="n"/>
      <c r="R124" s="49" t="n"/>
      <c r="S124" s="115" t="n"/>
      <c r="T124" s="83" t="n"/>
      <c r="U124" s="49" t="n"/>
      <c r="V124" s="49" t="n"/>
      <c r="W124" s="116" t="n"/>
      <c r="X124" s="83" t="n"/>
      <c r="Y124" s="49" t="n"/>
      <c r="Z124" s="49" t="n"/>
      <c r="AA124" s="115" t="n"/>
      <c r="AB124" s="83" t="n"/>
      <c r="AC124" s="49" t="n"/>
      <c r="AD124" s="49" t="n"/>
      <c r="AE124" s="115" t="n"/>
      <c r="AF124" s="83" t="n"/>
      <c r="AG124" s="49" t="n"/>
      <c r="AH124" s="49" t="n"/>
      <c r="AI124" s="115" t="n"/>
      <c r="AJ124" s="83" t="n"/>
      <c r="AK124" s="49" t="n"/>
      <c r="AL124" s="49" t="n"/>
      <c r="AM124" s="115" t="n"/>
      <c r="AN124" s="83" t="n"/>
      <c r="AO124" s="49" t="n"/>
      <c r="AP124" s="49" t="n"/>
      <c r="AQ124" s="117" t="n"/>
      <c r="AR124" s="83" t="n"/>
      <c r="AS124" s="49" t="n"/>
      <c r="AT124" s="50" t="n"/>
      <c r="AU124" s="115" t="n"/>
      <c r="AV124" s="83" t="n"/>
      <c r="AW124" s="49" t="n"/>
      <c r="AX124" s="49" t="n"/>
      <c r="AY124" s="115" t="n"/>
      <c r="AZ124" s="83" t="n"/>
      <c r="BA124" s="49" t="n"/>
      <c r="BB124" s="49" t="n"/>
      <c r="BC124" s="115" t="n"/>
      <c r="BD124" s="110">
        <f>SUM(K124,O124,S124,W124,AA124,AE124,AI124,AM124,AQ124,AU124,AY124,BC124)</f>
        <v/>
      </c>
      <c r="BE124" s="45" t="n"/>
      <c r="BF124" s="113" t="n"/>
      <c r="BG124" s="45" t="n"/>
      <c r="BH124" s="113" t="n"/>
      <c r="BI124" s="45" t="n"/>
      <c r="BJ124" s="113" t="n"/>
      <c r="BK124" s="45" t="n"/>
      <c r="BL124" s="113" t="n"/>
      <c r="BM124" s="45" t="n"/>
      <c r="BN124" s="113" t="n"/>
      <c r="BO124" s="114">
        <f>SUM(BF124,BH124,BJ124,BL124,BN124)</f>
        <v/>
      </c>
      <c r="BP124" s="45" t="n"/>
      <c r="BQ124" s="45" t="n"/>
      <c r="BR124" s="113" t="n"/>
      <c r="BS124" s="45" t="n"/>
      <c r="BT124" s="113" t="n"/>
      <c r="BU124" s="45" t="n"/>
      <c r="BV124" s="113" t="n"/>
      <c r="BW124" s="114">
        <f>SUM(BR124,BT124,BV124)</f>
        <v/>
      </c>
      <c r="BX124" s="45" t="n"/>
      <c r="BY124" s="114">
        <f>BD124 - IF(BP124="Y", 0, BO124) - IF(BX124="Y", 0, BW124)</f>
        <v/>
      </c>
      <c r="CK124" s="73" t="n"/>
      <c r="CL124" s="73" t="n"/>
      <c r="CM124" s="73" t="n"/>
      <c r="CN124" s="73" t="n"/>
      <c r="CO124" s="73" t="n"/>
      <c r="CP124" s="73" t="n"/>
      <c r="CQ124" s="73" t="n"/>
      <c r="CR124" s="73" t="n"/>
      <c r="CS124" s="73" t="n"/>
    </row>
    <row r="125" ht="13.5" customHeight="1">
      <c r="B125" s="47">
        <f>$B$3</f>
        <v/>
      </c>
      <c r="C125" s="48">
        <f>$C$3</f>
        <v/>
      </c>
      <c r="D125" s="40">
        <f>IF(SUM(COUNTIF(H125, "*"), COUNTIF(L125, "*"), COUNTIF(P125, "*"), COUNTIF(T125, "*"), COUNTIF(X125, "*"), COUNTIF(AB125, "*"), COUNTIF(AF125, "*"), COUNTIF(AJ125, "*"), COUNTIF(AN125, "*"), COUNTIF(AR125, "*"), COUNTIF(AV125, "*"), COUNTIF(AZ125, "*"))&gt;0, "Y", "N")</f>
        <v/>
      </c>
      <c r="E125" s="49" t="n"/>
      <c r="F125" s="49" t="n"/>
      <c r="G125" s="59" t="n">
        <v>49553</v>
      </c>
      <c r="H125" s="83" t="n"/>
      <c r="I125" s="49" t="n"/>
      <c r="J125" s="50" t="n"/>
      <c r="K125" s="115" t="n"/>
      <c r="L125" s="83" t="n"/>
      <c r="M125" s="49" t="n"/>
      <c r="N125" s="49" t="n"/>
      <c r="O125" s="115" t="n"/>
      <c r="P125" s="83" t="n"/>
      <c r="Q125" s="49" t="n"/>
      <c r="R125" s="49" t="n"/>
      <c r="S125" s="115" t="n"/>
      <c r="T125" s="83" t="n"/>
      <c r="U125" s="49" t="n"/>
      <c r="V125" s="49" t="n"/>
      <c r="W125" s="116" t="n"/>
      <c r="X125" s="83" t="n"/>
      <c r="Y125" s="49" t="n"/>
      <c r="Z125" s="49" t="n"/>
      <c r="AA125" s="115" t="n"/>
      <c r="AB125" s="83" t="n"/>
      <c r="AC125" s="49" t="n"/>
      <c r="AD125" s="49" t="n"/>
      <c r="AE125" s="115" t="n"/>
      <c r="AF125" s="83" t="n"/>
      <c r="AG125" s="49" t="n"/>
      <c r="AH125" s="49" t="n"/>
      <c r="AI125" s="115" t="n"/>
      <c r="AJ125" s="83" t="n"/>
      <c r="AK125" s="49" t="n"/>
      <c r="AL125" s="49" t="n"/>
      <c r="AM125" s="115" t="n"/>
      <c r="AN125" s="83" t="n"/>
      <c r="AO125" s="49" t="n"/>
      <c r="AP125" s="49" t="n"/>
      <c r="AQ125" s="117" t="n"/>
      <c r="AR125" s="83" t="n"/>
      <c r="AS125" s="49" t="n"/>
      <c r="AT125" s="50" t="n"/>
      <c r="AU125" s="115" t="n"/>
      <c r="AV125" s="83" t="n"/>
      <c r="AW125" s="49" t="n"/>
      <c r="AX125" s="49" t="n"/>
      <c r="AY125" s="115" t="n"/>
      <c r="AZ125" s="83" t="n"/>
      <c r="BA125" s="49" t="n"/>
      <c r="BB125" s="49" t="n"/>
      <c r="BC125" s="115" t="n"/>
      <c r="BD125" s="110">
        <f>SUM(K125,O125,S125,W125,AA125,AE125,AI125,AM125,AQ125,AU125,AY125,BC125)</f>
        <v/>
      </c>
      <c r="BE125" s="45" t="n"/>
      <c r="BF125" s="113" t="n"/>
      <c r="BG125" s="45" t="n"/>
      <c r="BH125" s="113" t="n"/>
      <c r="BI125" s="45" t="n"/>
      <c r="BJ125" s="113" t="n"/>
      <c r="BK125" s="45" t="n"/>
      <c r="BL125" s="113" t="n"/>
      <c r="BM125" s="45" t="n"/>
      <c r="BN125" s="113" t="n"/>
      <c r="BO125" s="114">
        <f>SUM(BF125,BH125,BJ125,BL125,BN125)</f>
        <v/>
      </c>
      <c r="BP125" s="45" t="n"/>
      <c r="BQ125" s="45" t="n"/>
      <c r="BR125" s="113" t="n"/>
      <c r="BS125" s="45" t="n"/>
      <c r="BT125" s="113" t="n"/>
      <c r="BU125" s="45" t="n"/>
      <c r="BV125" s="113" t="n"/>
      <c r="BW125" s="114">
        <f>SUM(BR125,BT125,BV125)</f>
        <v/>
      </c>
      <c r="BX125" s="45" t="n"/>
      <c r="BY125" s="114">
        <f>BD125 - IF(BP125="Y", 0, BO125) - IF(BX125="Y", 0, BW125)</f>
        <v/>
      </c>
      <c r="CK125" s="73" t="n"/>
      <c r="CL125" s="73" t="n"/>
      <c r="CM125" s="73" t="n"/>
      <c r="CN125" s="73" t="n"/>
      <c r="CO125" s="73" t="n"/>
      <c r="CP125" s="73" t="n"/>
      <c r="CQ125" s="73" t="n"/>
      <c r="CR125" s="73" t="n"/>
      <c r="CS125" s="73" t="n"/>
    </row>
    <row r="126" ht="13.5" customHeight="1">
      <c r="B126" s="47">
        <f>$B$3</f>
        <v/>
      </c>
      <c r="C126" s="48">
        <f>$C$3</f>
        <v/>
      </c>
      <c r="D126" s="40">
        <f>IF(SUM(COUNTIF(H126, "*"), COUNTIF(L126, "*"), COUNTIF(P126, "*"), COUNTIF(T126, "*"), COUNTIF(X126, "*"), COUNTIF(AB126, "*"), COUNTIF(AF126, "*"), COUNTIF(AJ126, "*"), COUNTIF(AN126, "*"), COUNTIF(AR126, "*"), COUNTIF(AV126, "*"), COUNTIF(AZ126, "*"))&gt;0, "Y", "N")</f>
        <v/>
      </c>
      <c r="E126" s="49" t="n"/>
      <c r="F126" s="49" t="n"/>
      <c r="G126" s="59" t="n">
        <v>49583</v>
      </c>
      <c r="H126" s="83" t="n"/>
      <c r="I126" s="49" t="n"/>
      <c r="J126" s="50" t="n"/>
      <c r="K126" s="115" t="n"/>
      <c r="L126" s="83" t="n"/>
      <c r="M126" s="49" t="n"/>
      <c r="N126" s="49" t="n"/>
      <c r="O126" s="115" t="n"/>
      <c r="P126" s="83" t="n"/>
      <c r="Q126" s="49" t="n"/>
      <c r="R126" s="49" t="n"/>
      <c r="S126" s="115" t="n"/>
      <c r="T126" s="83" t="n"/>
      <c r="U126" s="49" t="n"/>
      <c r="V126" s="49" t="n"/>
      <c r="W126" s="116" t="n"/>
      <c r="X126" s="83" t="n"/>
      <c r="Y126" s="49" t="n"/>
      <c r="Z126" s="49" t="n"/>
      <c r="AA126" s="115" t="n"/>
      <c r="AB126" s="83" t="n"/>
      <c r="AC126" s="49" t="n"/>
      <c r="AD126" s="49" t="n"/>
      <c r="AE126" s="115" t="n"/>
      <c r="AF126" s="83" t="n"/>
      <c r="AG126" s="49" t="n"/>
      <c r="AH126" s="49" t="n"/>
      <c r="AI126" s="115" t="n"/>
      <c r="AJ126" s="83" t="n"/>
      <c r="AK126" s="49" t="n"/>
      <c r="AL126" s="49" t="n"/>
      <c r="AM126" s="115" t="n"/>
      <c r="AN126" s="83" t="n"/>
      <c r="AO126" s="49" t="n"/>
      <c r="AP126" s="49" t="n"/>
      <c r="AQ126" s="117" t="n"/>
      <c r="AR126" s="83" t="n"/>
      <c r="AS126" s="49" t="n"/>
      <c r="AT126" s="50" t="n"/>
      <c r="AU126" s="115" t="n"/>
      <c r="AV126" s="83" t="n"/>
      <c r="AW126" s="49" t="n"/>
      <c r="AX126" s="49" t="n"/>
      <c r="AY126" s="115" t="n"/>
      <c r="AZ126" s="83" t="n"/>
      <c r="BA126" s="49" t="n"/>
      <c r="BB126" s="49" t="n"/>
      <c r="BC126" s="115" t="n"/>
      <c r="BD126" s="110">
        <f>SUM(K126,O126,S126,W126,AA126,AE126,AI126,AM126,AQ126,AU126,AY126,BC126)</f>
        <v/>
      </c>
      <c r="BE126" s="45" t="n"/>
      <c r="BF126" s="113" t="n"/>
      <c r="BG126" s="45" t="n"/>
      <c r="BH126" s="113" t="n"/>
      <c r="BI126" s="45" t="n"/>
      <c r="BJ126" s="113" t="n"/>
      <c r="BK126" s="45" t="n"/>
      <c r="BL126" s="113" t="n"/>
      <c r="BM126" s="45" t="n"/>
      <c r="BN126" s="113" t="n"/>
      <c r="BO126" s="114">
        <f>SUM(BF126,BH126,BJ126,BL126,BN126)</f>
        <v/>
      </c>
      <c r="BP126" s="45" t="n"/>
      <c r="BQ126" s="45" t="n"/>
      <c r="BR126" s="113" t="n"/>
      <c r="BS126" s="45" t="n"/>
      <c r="BT126" s="113" t="n"/>
      <c r="BU126" s="45" t="n"/>
      <c r="BV126" s="113" t="n"/>
      <c r="BW126" s="114">
        <f>SUM(BR126,BT126,BV126)</f>
        <v/>
      </c>
      <c r="BX126" s="45" t="n"/>
      <c r="BY126" s="114">
        <f>BD126 - IF(BP126="Y", 0, BO126) - IF(BX126="Y", 0, BW126)</f>
        <v/>
      </c>
      <c r="CK126" s="73" t="n"/>
      <c r="CL126" s="73" t="n"/>
      <c r="CM126" s="73" t="n"/>
      <c r="CN126" s="73" t="n"/>
      <c r="CO126" s="73" t="n"/>
      <c r="CP126" s="73" t="n"/>
      <c r="CQ126" s="73" t="n"/>
      <c r="CR126" s="73" t="n"/>
      <c r="CS126" s="73" t="n"/>
    </row>
    <row r="127" ht="13.5" customHeight="1">
      <c r="B127" s="47">
        <f>$B$3</f>
        <v/>
      </c>
      <c r="C127" s="48">
        <f>$C$3</f>
        <v/>
      </c>
      <c r="D127" s="40">
        <f>IF(SUM(COUNTIF(H127, "*"), COUNTIF(L127, "*"), COUNTIF(P127, "*"), COUNTIF(T127, "*"), COUNTIF(X127, "*"), COUNTIF(AB127, "*"), COUNTIF(AF127, "*"), COUNTIF(AJ127, "*"), COUNTIF(AN127, "*"), COUNTIF(AR127, "*"), COUNTIF(AV127, "*"), COUNTIF(AZ127, "*"))&gt;0, "Y", "N")</f>
        <v/>
      </c>
      <c r="E127" s="49" t="n"/>
      <c r="F127" s="49" t="n"/>
      <c r="G127" s="59" t="n">
        <v>49614</v>
      </c>
      <c r="H127" s="83" t="n"/>
      <c r="I127" s="49" t="n"/>
      <c r="J127" s="50" t="n"/>
      <c r="K127" s="115" t="n"/>
      <c r="L127" s="83" t="n"/>
      <c r="M127" s="49" t="n"/>
      <c r="N127" s="49" t="n"/>
      <c r="O127" s="115" t="n"/>
      <c r="P127" s="83" t="n"/>
      <c r="Q127" s="49" t="n"/>
      <c r="R127" s="49" t="n"/>
      <c r="S127" s="115" t="n"/>
      <c r="T127" s="83" t="n"/>
      <c r="U127" s="49" t="n"/>
      <c r="V127" s="49" t="n"/>
      <c r="W127" s="116" t="n"/>
      <c r="X127" s="83" t="n"/>
      <c r="Y127" s="49" t="n"/>
      <c r="Z127" s="49" t="n"/>
      <c r="AA127" s="115" t="n"/>
      <c r="AB127" s="83" t="n"/>
      <c r="AC127" s="49" t="n"/>
      <c r="AD127" s="49" t="n"/>
      <c r="AE127" s="115" t="n"/>
      <c r="AF127" s="83" t="n"/>
      <c r="AG127" s="49" t="n"/>
      <c r="AH127" s="49" t="n"/>
      <c r="AI127" s="115" t="n"/>
      <c r="AJ127" s="83" t="n"/>
      <c r="AK127" s="49" t="n"/>
      <c r="AL127" s="49" t="n"/>
      <c r="AM127" s="115" t="n"/>
      <c r="AN127" s="83" t="n"/>
      <c r="AO127" s="49" t="n"/>
      <c r="AP127" s="49" t="n"/>
      <c r="AQ127" s="117" t="n"/>
      <c r="AR127" s="83" t="n"/>
      <c r="AS127" s="49" t="n"/>
      <c r="AT127" s="50" t="n"/>
      <c r="AU127" s="115" t="n"/>
      <c r="AV127" s="83" t="n"/>
      <c r="AW127" s="49" t="n"/>
      <c r="AX127" s="49" t="n"/>
      <c r="AY127" s="115" t="n"/>
      <c r="AZ127" s="83" t="n"/>
      <c r="BA127" s="49" t="n"/>
      <c r="BB127" s="49" t="n"/>
      <c r="BC127" s="115" t="n"/>
      <c r="BD127" s="110">
        <f>SUM(K127,O127,S127,W127,AA127,AE127,AI127,AM127,AQ127,AU127,AY127,BC127)</f>
        <v/>
      </c>
      <c r="BE127" s="45" t="n"/>
      <c r="BF127" s="113" t="n"/>
      <c r="BG127" s="45" t="n"/>
      <c r="BH127" s="113" t="n"/>
      <c r="BI127" s="45" t="n"/>
      <c r="BJ127" s="113" t="n"/>
      <c r="BK127" s="45" t="n"/>
      <c r="BL127" s="113" t="n"/>
      <c r="BM127" s="45" t="n"/>
      <c r="BN127" s="113" t="n"/>
      <c r="BO127" s="114">
        <f>SUM(BF127,BH127,BJ127,BL127,BN127)</f>
        <v/>
      </c>
      <c r="BP127" s="45" t="n"/>
      <c r="BQ127" s="45" t="n"/>
      <c r="BR127" s="113" t="n"/>
      <c r="BS127" s="45" t="n"/>
      <c r="BT127" s="113" t="n"/>
      <c r="BU127" s="45" t="n"/>
      <c r="BV127" s="113" t="n"/>
      <c r="BW127" s="114">
        <f>SUM(BR127,BT127,BV127)</f>
        <v/>
      </c>
      <c r="BX127" s="45" t="n"/>
      <c r="BY127" s="114">
        <f>BD127 - IF(BP127="Y", 0, BO127) - IF(BX127="Y", 0, BW127)</f>
        <v/>
      </c>
      <c r="CK127" s="73" t="n"/>
      <c r="CL127" s="73" t="n"/>
      <c r="CM127" s="73" t="n"/>
      <c r="CN127" s="73" t="n"/>
      <c r="CO127" s="73" t="n"/>
      <c r="CP127" s="73" t="n"/>
      <c r="CQ127" s="73" t="n"/>
      <c r="CR127" s="73" t="n"/>
      <c r="CS127" s="73" t="n"/>
    </row>
    <row r="128" ht="13.5" customHeight="1">
      <c r="B128" s="47">
        <f>$B$3</f>
        <v/>
      </c>
      <c r="C128" s="48">
        <f>$C$3</f>
        <v/>
      </c>
      <c r="D128" s="40">
        <f>IF(SUM(COUNTIF(H128, "*"), COUNTIF(L128, "*"), COUNTIF(P128, "*"), COUNTIF(T128, "*"), COUNTIF(X128, "*"), COUNTIF(AB128, "*"), COUNTIF(AF128, "*"), COUNTIF(AJ128, "*"), COUNTIF(AN128, "*"), COUNTIF(AR128, "*"), COUNTIF(AV128, "*"), COUNTIF(AZ128, "*"))&gt;0, "Y", "N")</f>
        <v/>
      </c>
      <c r="E128" s="49" t="n"/>
      <c r="F128" s="49" t="n"/>
      <c r="G128" s="59" t="n">
        <v>49644</v>
      </c>
      <c r="H128" s="83" t="n"/>
      <c r="I128" s="49" t="n"/>
      <c r="J128" s="50" t="n"/>
      <c r="K128" s="115" t="n"/>
      <c r="L128" s="83" t="n"/>
      <c r="M128" s="49" t="n"/>
      <c r="N128" s="49" t="n"/>
      <c r="O128" s="115" t="n"/>
      <c r="P128" s="83" t="n"/>
      <c r="Q128" s="49" t="n"/>
      <c r="R128" s="49" t="n"/>
      <c r="S128" s="115" t="n"/>
      <c r="T128" s="83" t="n"/>
      <c r="U128" s="49" t="n"/>
      <c r="V128" s="49" t="n"/>
      <c r="W128" s="116" t="n"/>
      <c r="X128" s="83" t="n"/>
      <c r="Y128" s="49" t="n"/>
      <c r="Z128" s="49" t="n"/>
      <c r="AA128" s="115" t="n"/>
      <c r="AB128" s="83" t="n"/>
      <c r="AC128" s="49" t="n"/>
      <c r="AD128" s="49" t="n"/>
      <c r="AE128" s="115" t="n"/>
      <c r="AF128" s="83" t="n"/>
      <c r="AG128" s="49" t="n"/>
      <c r="AH128" s="49" t="n"/>
      <c r="AI128" s="115" t="n"/>
      <c r="AJ128" s="83" t="n"/>
      <c r="AK128" s="49" t="n"/>
      <c r="AL128" s="49" t="n"/>
      <c r="AM128" s="115" t="n"/>
      <c r="AN128" s="83" t="n"/>
      <c r="AO128" s="49" t="n"/>
      <c r="AP128" s="49" t="n"/>
      <c r="AQ128" s="117" t="n"/>
      <c r="AR128" s="83" t="n"/>
      <c r="AS128" s="49" t="n"/>
      <c r="AT128" s="50" t="n"/>
      <c r="AU128" s="115" t="n"/>
      <c r="AV128" s="83" t="n"/>
      <c r="AW128" s="49" t="n"/>
      <c r="AX128" s="49" t="n"/>
      <c r="AY128" s="115" t="n"/>
      <c r="AZ128" s="83" t="n"/>
      <c r="BA128" s="49" t="n"/>
      <c r="BB128" s="49" t="n"/>
      <c r="BC128" s="115" t="n"/>
      <c r="BD128" s="110">
        <f>SUM(K128,O128,S128,W128,AA128,AE128,AI128,AM128,AQ128,AU128,AY128,BC128)</f>
        <v/>
      </c>
      <c r="BE128" s="45" t="n"/>
      <c r="BF128" s="113" t="n"/>
      <c r="BG128" s="45" t="n"/>
      <c r="BH128" s="113" t="n"/>
      <c r="BI128" s="45" t="n"/>
      <c r="BJ128" s="113" t="n"/>
      <c r="BK128" s="45" t="n"/>
      <c r="BL128" s="113" t="n"/>
      <c r="BM128" s="45" t="n"/>
      <c r="BN128" s="113" t="n"/>
      <c r="BO128" s="114">
        <f>SUM(BF128,BH128,BJ128,BL128,BN128)</f>
        <v/>
      </c>
      <c r="BP128" s="45" t="n"/>
      <c r="BQ128" s="45" t="n"/>
      <c r="BR128" s="113" t="n"/>
      <c r="BS128" s="45" t="n"/>
      <c r="BT128" s="113" t="n"/>
      <c r="BU128" s="45" t="n"/>
      <c r="BV128" s="113" t="n"/>
      <c r="BW128" s="114">
        <f>SUM(BR128,BT128,BV128)</f>
        <v/>
      </c>
      <c r="BX128" s="45" t="n"/>
      <c r="BY128" s="114">
        <f>BD128 - IF(BP128="Y", 0, BO128) - IF(BX128="Y", 0, BW128)</f>
        <v/>
      </c>
      <c r="CK128" s="73" t="n"/>
      <c r="CL128" s="73" t="n"/>
      <c r="CM128" s="73" t="n"/>
      <c r="CN128" s="73" t="n"/>
      <c r="CO128" s="73" t="n"/>
      <c r="CP128" s="73" t="n"/>
      <c r="CQ128" s="73" t="n"/>
      <c r="CR128" s="73" t="n"/>
      <c r="CS128" s="73" t="n"/>
    </row>
    <row r="129" ht="13.5" customHeight="1">
      <c r="B129" s="47">
        <f>$B$3</f>
        <v/>
      </c>
      <c r="C129" s="48">
        <f>$C$3</f>
        <v/>
      </c>
      <c r="D129" s="40">
        <f>IF(SUM(COUNTIF(H129, "*"), COUNTIF(L129, "*"), COUNTIF(P129, "*"), COUNTIF(T129, "*"), COUNTIF(X129, "*"), COUNTIF(AB129, "*"), COUNTIF(AF129, "*"), COUNTIF(AJ129, "*"), COUNTIF(AN129, "*"), COUNTIF(AR129, "*"), COUNTIF(AV129, "*"), COUNTIF(AZ129, "*"))&gt;0, "Y", "N")</f>
        <v/>
      </c>
      <c r="E129" s="49" t="n"/>
      <c r="F129" s="49" t="n"/>
      <c r="G129" s="59" t="n">
        <v>49675</v>
      </c>
      <c r="H129" s="83" t="n"/>
      <c r="I129" s="49" t="n"/>
      <c r="J129" s="50" t="n"/>
      <c r="K129" s="115" t="n"/>
      <c r="L129" s="83" t="n"/>
      <c r="M129" s="49" t="n"/>
      <c r="N129" s="49" t="n"/>
      <c r="O129" s="115" t="n"/>
      <c r="P129" s="83" t="n"/>
      <c r="Q129" s="49" t="n"/>
      <c r="R129" s="49" t="n"/>
      <c r="S129" s="115" t="n"/>
      <c r="T129" s="83" t="n"/>
      <c r="U129" s="49" t="n"/>
      <c r="V129" s="49" t="n"/>
      <c r="W129" s="116" t="n"/>
      <c r="X129" s="83" t="n"/>
      <c r="Y129" s="49" t="n"/>
      <c r="Z129" s="49" t="n"/>
      <c r="AA129" s="115" t="n"/>
      <c r="AB129" s="83" t="n"/>
      <c r="AC129" s="49" t="n"/>
      <c r="AD129" s="49" t="n"/>
      <c r="AE129" s="115" t="n"/>
      <c r="AF129" s="83" t="n"/>
      <c r="AG129" s="49" t="n"/>
      <c r="AH129" s="49" t="n"/>
      <c r="AI129" s="115" t="n"/>
      <c r="AJ129" s="83" t="n"/>
      <c r="AK129" s="49" t="n"/>
      <c r="AL129" s="49" t="n"/>
      <c r="AM129" s="115" t="n"/>
      <c r="AN129" s="83" t="n"/>
      <c r="AO129" s="49" t="n"/>
      <c r="AP129" s="49" t="n"/>
      <c r="AQ129" s="117" t="n"/>
      <c r="AR129" s="83" t="n"/>
      <c r="AS129" s="49" t="n"/>
      <c r="AT129" s="50" t="n"/>
      <c r="AU129" s="115" t="n"/>
      <c r="AV129" s="83" t="n"/>
      <c r="AW129" s="49" t="n"/>
      <c r="AX129" s="49" t="n"/>
      <c r="AY129" s="115" t="n"/>
      <c r="AZ129" s="83" t="n"/>
      <c r="BA129" s="49" t="n"/>
      <c r="BB129" s="49" t="n"/>
      <c r="BC129" s="115" t="n"/>
      <c r="BD129" s="110">
        <f>SUM(K129,O129,S129,W129,AA129,AE129,AI129,AM129,AQ129,AU129,AY129,BC129)</f>
        <v/>
      </c>
      <c r="BE129" s="45" t="n"/>
      <c r="BF129" s="113" t="n"/>
      <c r="BG129" s="45" t="n"/>
      <c r="BH129" s="113" t="n"/>
      <c r="BI129" s="45" t="n"/>
      <c r="BJ129" s="113" t="n"/>
      <c r="BK129" s="45" t="n"/>
      <c r="BL129" s="113" t="n"/>
      <c r="BM129" s="45" t="n"/>
      <c r="BN129" s="113" t="n"/>
      <c r="BO129" s="114">
        <f>SUM(BF129,BH129,BJ129,BL129,BN129)</f>
        <v/>
      </c>
      <c r="BP129" s="45" t="n"/>
      <c r="BQ129" s="45" t="n"/>
      <c r="BR129" s="113" t="n"/>
      <c r="BS129" s="45" t="n"/>
      <c r="BT129" s="113" t="n"/>
      <c r="BU129" s="45" t="n"/>
      <c r="BV129" s="113" t="n"/>
      <c r="BW129" s="114">
        <f>SUM(BR129,BT129,BV129)</f>
        <v/>
      </c>
      <c r="BX129" s="45" t="n"/>
      <c r="BY129" s="114">
        <f>BD129 - IF(BP129="Y", 0, BO129) - IF(BX129="Y", 0, BW129)</f>
        <v/>
      </c>
      <c r="CK129" s="73" t="n"/>
      <c r="CL129" s="73" t="n"/>
      <c r="CM129" s="73" t="n"/>
      <c r="CN129" s="73" t="n"/>
      <c r="CO129" s="73" t="n"/>
      <c r="CP129" s="73" t="n"/>
      <c r="CQ129" s="73" t="n"/>
      <c r="CR129" s="73" t="n"/>
      <c r="CS129" s="73" t="n"/>
    </row>
    <row r="130" ht="13.5" customHeight="1">
      <c r="B130" s="47">
        <f>$B$3</f>
        <v/>
      </c>
      <c r="C130" s="48">
        <f>$C$3</f>
        <v/>
      </c>
      <c r="D130" s="40">
        <f>IF(SUM(COUNTIF(H130, "*"), COUNTIF(L130, "*"), COUNTIF(P130, "*"), COUNTIF(T130, "*"), COUNTIF(X130, "*"), COUNTIF(AB130, "*"), COUNTIF(AF130, "*"), COUNTIF(AJ130, "*"), COUNTIF(AN130, "*"), COUNTIF(AR130, "*"), COUNTIF(AV130, "*"), COUNTIF(AZ130, "*"))&gt;0, "Y", "N")</f>
        <v/>
      </c>
      <c r="E130" s="49" t="n"/>
      <c r="F130" s="49" t="n"/>
      <c r="G130" s="59" t="n">
        <v>49706</v>
      </c>
      <c r="H130" s="83" t="n"/>
      <c r="I130" s="49" t="n"/>
      <c r="J130" s="50" t="n"/>
      <c r="K130" s="115" t="n"/>
      <c r="L130" s="83" t="n"/>
      <c r="M130" s="49" t="n"/>
      <c r="N130" s="49" t="n"/>
      <c r="O130" s="115" t="n"/>
      <c r="P130" s="83" t="n"/>
      <c r="Q130" s="49" t="n"/>
      <c r="R130" s="49" t="n"/>
      <c r="S130" s="115" t="n"/>
      <c r="T130" s="83" t="n"/>
      <c r="U130" s="49" t="n"/>
      <c r="V130" s="49" t="n"/>
      <c r="W130" s="116" t="n"/>
      <c r="X130" s="83" t="n"/>
      <c r="Y130" s="49" t="n"/>
      <c r="Z130" s="49" t="n"/>
      <c r="AA130" s="115" t="n"/>
      <c r="AB130" s="83" t="n"/>
      <c r="AC130" s="49" t="n"/>
      <c r="AD130" s="49" t="n"/>
      <c r="AE130" s="115" t="n"/>
      <c r="AF130" s="83" t="n"/>
      <c r="AG130" s="49" t="n"/>
      <c r="AH130" s="49" t="n"/>
      <c r="AI130" s="115" t="n"/>
      <c r="AJ130" s="83" t="n"/>
      <c r="AK130" s="49" t="n"/>
      <c r="AL130" s="49" t="n"/>
      <c r="AM130" s="115" t="n"/>
      <c r="AN130" s="83" t="n"/>
      <c r="AO130" s="49" t="n"/>
      <c r="AP130" s="49" t="n"/>
      <c r="AQ130" s="117" t="n"/>
      <c r="AR130" s="83" t="n"/>
      <c r="AS130" s="49" t="n"/>
      <c r="AT130" s="50" t="n"/>
      <c r="AU130" s="115" t="n"/>
      <c r="AV130" s="83" t="n"/>
      <c r="AW130" s="49" t="n"/>
      <c r="AX130" s="49" t="n"/>
      <c r="AY130" s="115" t="n"/>
      <c r="AZ130" s="83" t="n"/>
      <c r="BA130" s="49" t="n"/>
      <c r="BB130" s="49" t="n"/>
      <c r="BC130" s="115" t="n"/>
      <c r="BD130" s="110">
        <f>SUM(K130,O130,S130,W130,AA130,AE130,AI130,AM130,AQ130,AU130,AY130,BC130)</f>
        <v/>
      </c>
      <c r="BE130" s="45" t="n"/>
      <c r="BF130" s="113" t="n"/>
      <c r="BG130" s="45" t="n"/>
      <c r="BH130" s="113" t="n"/>
      <c r="BI130" s="45" t="n"/>
      <c r="BJ130" s="113" t="n"/>
      <c r="BK130" s="45" t="n"/>
      <c r="BL130" s="113" t="n"/>
      <c r="BM130" s="45" t="n"/>
      <c r="BN130" s="113" t="n"/>
      <c r="BO130" s="114">
        <f>SUM(BF130,BH130,BJ130,BL130,BN130)</f>
        <v/>
      </c>
      <c r="BP130" s="45" t="n"/>
      <c r="BQ130" s="45" t="n"/>
      <c r="BR130" s="113" t="n"/>
      <c r="BS130" s="45" t="n"/>
      <c r="BT130" s="113" t="n"/>
      <c r="BU130" s="45" t="n"/>
      <c r="BV130" s="113" t="n"/>
      <c r="BW130" s="114">
        <f>SUM(BR130,BT130,BV130)</f>
        <v/>
      </c>
      <c r="BX130" s="45" t="n"/>
      <c r="BY130" s="114">
        <f>BD130 - IF(BP130="Y", 0, BO130) - IF(BX130="Y", 0, BW130)</f>
        <v/>
      </c>
      <c r="CK130" s="73" t="n"/>
      <c r="CL130" s="73" t="n"/>
      <c r="CM130" s="73" t="n"/>
      <c r="CN130" s="73" t="n"/>
      <c r="CO130" s="73" t="n"/>
      <c r="CP130" s="73" t="n"/>
      <c r="CQ130" s="73" t="n"/>
      <c r="CR130" s="73" t="n"/>
      <c r="CS130" s="73" t="n"/>
    </row>
    <row r="131" ht="13.5" customHeight="1">
      <c r="B131" s="47">
        <f>$B$3</f>
        <v/>
      </c>
      <c r="C131" s="48">
        <f>$C$3</f>
        <v/>
      </c>
      <c r="D131" s="40">
        <f>IF(SUM(COUNTIF(H131, "*"), COUNTIF(L131, "*"), COUNTIF(P131, "*"), COUNTIF(T131, "*"), COUNTIF(X131, "*"), COUNTIF(AB131, "*"), COUNTIF(AF131, "*"), COUNTIF(AJ131, "*"), COUNTIF(AN131, "*"), COUNTIF(AR131, "*"), COUNTIF(AV131, "*"), COUNTIF(AZ131, "*"))&gt;0, "Y", "N")</f>
        <v/>
      </c>
      <c r="E131" s="49" t="n"/>
      <c r="F131" s="49" t="n"/>
      <c r="G131" s="59" t="n">
        <v>49735</v>
      </c>
      <c r="H131" s="83" t="n"/>
      <c r="I131" s="49" t="n"/>
      <c r="J131" s="50" t="n"/>
      <c r="K131" s="115" t="n"/>
      <c r="L131" s="83" t="n"/>
      <c r="M131" s="49" t="n"/>
      <c r="N131" s="49" t="n"/>
      <c r="O131" s="115" t="n"/>
      <c r="P131" s="83" t="n"/>
      <c r="Q131" s="49" t="n"/>
      <c r="R131" s="49" t="n"/>
      <c r="S131" s="115" t="n"/>
      <c r="T131" s="83" t="n"/>
      <c r="U131" s="49" t="n"/>
      <c r="V131" s="49" t="n"/>
      <c r="W131" s="116" t="n"/>
      <c r="X131" s="83" t="n"/>
      <c r="Y131" s="49" t="n"/>
      <c r="Z131" s="49" t="n"/>
      <c r="AA131" s="115" t="n"/>
      <c r="AB131" s="83" t="n"/>
      <c r="AC131" s="49" t="n"/>
      <c r="AD131" s="49" t="n"/>
      <c r="AE131" s="115" t="n"/>
      <c r="AF131" s="83" t="n"/>
      <c r="AG131" s="49" t="n"/>
      <c r="AH131" s="49" t="n"/>
      <c r="AI131" s="115" t="n"/>
      <c r="AJ131" s="83" t="n"/>
      <c r="AK131" s="49" t="n"/>
      <c r="AL131" s="49" t="n"/>
      <c r="AM131" s="115" t="n"/>
      <c r="AN131" s="83" t="n"/>
      <c r="AO131" s="49" t="n"/>
      <c r="AP131" s="49" t="n"/>
      <c r="AQ131" s="117" t="n"/>
      <c r="AR131" s="83" t="n"/>
      <c r="AS131" s="49" t="n"/>
      <c r="AT131" s="50" t="n"/>
      <c r="AU131" s="115" t="n"/>
      <c r="AV131" s="83" t="n"/>
      <c r="AW131" s="49" t="n"/>
      <c r="AX131" s="49" t="n"/>
      <c r="AY131" s="115" t="n"/>
      <c r="AZ131" s="83" t="n"/>
      <c r="BA131" s="49" t="n"/>
      <c r="BB131" s="49" t="n"/>
      <c r="BC131" s="115" t="n"/>
      <c r="BD131" s="110">
        <f>SUM(K131,O131,S131,W131,AA131,AE131,AI131,AM131,AQ131,AU131,AY131,BC131)</f>
        <v/>
      </c>
      <c r="BE131" s="45" t="n"/>
      <c r="BF131" s="113" t="n"/>
      <c r="BG131" s="45" t="n"/>
      <c r="BH131" s="113" t="n"/>
      <c r="BI131" s="45" t="n"/>
      <c r="BJ131" s="113" t="n"/>
      <c r="BK131" s="45" t="n"/>
      <c r="BL131" s="113" t="n"/>
      <c r="BM131" s="45" t="n"/>
      <c r="BN131" s="113" t="n"/>
      <c r="BO131" s="114">
        <f>SUM(BF131,BH131,BJ131,BL131,BN131)</f>
        <v/>
      </c>
      <c r="BP131" s="45" t="n"/>
      <c r="BQ131" s="45" t="n"/>
      <c r="BR131" s="113" t="n"/>
      <c r="BS131" s="45" t="n"/>
      <c r="BT131" s="113" t="n"/>
      <c r="BU131" s="45" t="n"/>
      <c r="BV131" s="113" t="n"/>
      <c r="BW131" s="114">
        <f>SUM(BR131,BT131,BV131)</f>
        <v/>
      </c>
      <c r="BX131" s="45" t="n"/>
      <c r="BY131" s="114">
        <f>BD131 - IF(BP131="Y", 0, BO131) - IF(BX131="Y", 0, BW131)</f>
        <v/>
      </c>
      <c r="CK131" s="73" t="n"/>
      <c r="CL131" s="73" t="n"/>
      <c r="CM131" s="73" t="n"/>
      <c r="CN131" s="73" t="n"/>
      <c r="CO131" s="73" t="n"/>
      <c r="CP131" s="73" t="n"/>
      <c r="CQ131" s="73" t="n"/>
      <c r="CR131" s="73" t="n"/>
      <c r="CS131" s="73" t="n"/>
    </row>
    <row r="132" ht="13.5" customHeight="1">
      <c r="B132" s="47">
        <f>$B$3</f>
        <v/>
      </c>
      <c r="C132" s="48">
        <f>$C$3</f>
        <v/>
      </c>
      <c r="D132" s="40">
        <f>IF(SUM(COUNTIF(H132, "*"), COUNTIF(L132, "*"), COUNTIF(P132, "*"), COUNTIF(T132, "*"), COUNTIF(X132, "*"), COUNTIF(AB132, "*"), COUNTIF(AF132, "*"), COUNTIF(AJ132, "*"), COUNTIF(AN132, "*"), COUNTIF(AR132, "*"), COUNTIF(AV132, "*"), COUNTIF(AZ132, "*"))&gt;0, "Y", "N")</f>
        <v/>
      </c>
      <c r="E132" s="49" t="n"/>
      <c r="F132" s="49" t="n"/>
      <c r="G132" s="59" t="n">
        <v>49766</v>
      </c>
      <c r="H132" s="83" t="n"/>
      <c r="I132" s="49" t="n"/>
      <c r="J132" s="50" t="n"/>
      <c r="K132" s="115" t="n"/>
      <c r="L132" s="83" t="n"/>
      <c r="M132" s="49" t="n"/>
      <c r="N132" s="49" t="n"/>
      <c r="O132" s="115" t="n"/>
      <c r="P132" s="83" t="n"/>
      <c r="Q132" s="49" t="n"/>
      <c r="R132" s="49" t="n"/>
      <c r="S132" s="115" t="n"/>
      <c r="T132" s="83" t="n"/>
      <c r="U132" s="49" t="n"/>
      <c r="V132" s="49" t="n"/>
      <c r="W132" s="116" t="n"/>
      <c r="X132" s="83" t="n"/>
      <c r="Y132" s="49" t="n"/>
      <c r="Z132" s="49" t="n"/>
      <c r="AA132" s="115" t="n"/>
      <c r="AB132" s="83" t="n"/>
      <c r="AC132" s="49" t="n"/>
      <c r="AD132" s="49" t="n"/>
      <c r="AE132" s="115" t="n"/>
      <c r="AF132" s="83" t="n"/>
      <c r="AG132" s="49" t="n"/>
      <c r="AH132" s="49" t="n"/>
      <c r="AI132" s="115" t="n"/>
      <c r="AJ132" s="83" t="n"/>
      <c r="AK132" s="49" t="n"/>
      <c r="AL132" s="49" t="n"/>
      <c r="AM132" s="115" t="n"/>
      <c r="AN132" s="83" t="n"/>
      <c r="AO132" s="49" t="n"/>
      <c r="AP132" s="49" t="n"/>
      <c r="AQ132" s="117" t="n"/>
      <c r="AR132" s="83" t="n"/>
      <c r="AS132" s="49" t="n"/>
      <c r="AT132" s="50" t="n"/>
      <c r="AU132" s="115" t="n"/>
      <c r="AV132" s="83" t="n"/>
      <c r="AW132" s="49" t="n"/>
      <c r="AX132" s="49" t="n"/>
      <c r="AY132" s="115" t="n"/>
      <c r="AZ132" s="83" t="n"/>
      <c r="BA132" s="49" t="n"/>
      <c r="BB132" s="49" t="n"/>
      <c r="BC132" s="115" t="n"/>
      <c r="BD132" s="110">
        <f>SUM(K132,O132,S132,W132,AA132,AE132,AI132,AM132,AQ132,AU132,AY132,BC132)</f>
        <v/>
      </c>
      <c r="BE132" s="45" t="n"/>
      <c r="BF132" s="113" t="n"/>
      <c r="BG132" s="45" t="n"/>
      <c r="BH132" s="113" t="n"/>
      <c r="BI132" s="45" t="n"/>
      <c r="BJ132" s="113" t="n"/>
      <c r="BK132" s="45" t="n"/>
      <c r="BL132" s="113" t="n"/>
      <c r="BM132" s="45" t="n"/>
      <c r="BN132" s="113" t="n"/>
      <c r="BO132" s="114">
        <f>SUM(BF132,BH132,BJ132,BL132,BN132)</f>
        <v/>
      </c>
      <c r="BP132" s="45" t="n"/>
      <c r="BQ132" s="45" t="n"/>
      <c r="BR132" s="113" t="n"/>
      <c r="BS132" s="45" t="n"/>
      <c r="BT132" s="113" t="n"/>
      <c r="BU132" s="45" t="n"/>
      <c r="BV132" s="113" t="n"/>
      <c r="BW132" s="114">
        <f>SUM(BR132,BT132,BV132)</f>
        <v/>
      </c>
      <c r="BX132" s="45" t="n"/>
      <c r="BY132" s="114">
        <f>BD132 - IF(BP132="Y", 0, BO132) - IF(BX132="Y", 0, BW132)</f>
        <v/>
      </c>
      <c r="CK132" s="73" t="n"/>
      <c r="CL132" s="73" t="n"/>
      <c r="CM132" s="73" t="n"/>
      <c r="CN132" s="73" t="n"/>
      <c r="CO132" s="73" t="n"/>
      <c r="CP132" s="73" t="n"/>
      <c r="CQ132" s="73" t="n"/>
      <c r="CR132" s="73" t="n"/>
      <c r="CS132" s="73" t="n"/>
    </row>
    <row r="133" ht="13.5" customHeight="1">
      <c r="B133" s="47">
        <f>$B$3</f>
        <v/>
      </c>
      <c r="C133" s="48">
        <f>$C$3</f>
        <v/>
      </c>
      <c r="D133" s="40">
        <f>IF(SUM(COUNTIF(H133, "*"), COUNTIF(L133, "*"), COUNTIF(P133, "*"), COUNTIF(T133, "*"), COUNTIF(X133, "*"), COUNTIF(AB133, "*"), COUNTIF(AF133, "*"), COUNTIF(AJ133, "*"), COUNTIF(AN133, "*"), COUNTIF(AR133, "*"), COUNTIF(AV133, "*"), COUNTIF(AZ133, "*"))&gt;0, "Y", "N")</f>
        <v/>
      </c>
      <c r="E133" s="49" t="n"/>
      <c r="F133" s="49" t="n"/>
      <c r="G133" s="59" t="n">
        <v>49796</v>
      </c>
      <c r="H133" s="83" t="n"/>
      <c r="I133" s="49" t="n"/>
      <c r="J133" s="50" t="n"/>
      <c r="K133" s="115" t="n"/>
      <c r="L133" s="83" t="n"/>
      <c r="M133" s="49" t="n"/>
      <c r="N133" s="49" t="n"/>
      <c r="O133" s="115" t="n"/>
      <c r="P133" s="83" t="n"/>
      <c r="Q133" s="49" t="n"/>
      <c r="R133" s="49" t="n"/>
      <c r="S133" s="115" t="n"/>
      <c r="T133" s="83" t="n"/>
      <c r="U133" s="49" t="n"/>
      <c r="V133" s="49" t="n"/>
      <c r="W133" s="116" t="n"/>
      <c r="X133" s="83" t="n"/>
      <c r="Y133" s="49" t="n"/>
      <c r="Z133" s="49" t="n"/>
      <c r="AA133" s="115" t="n"/>
      <c r="AB133" s="83" t="n"/>
      <c r="AC133" s="49" t="n"/>
      <c r="AD133" s="49" t="n"/>
      <c r="AE133" s="115" t="n"/>
      <c r="AF133" s="83" t="n"/>
      <c r="AG133" s="49" t="n"/>
      <c r="AH133" s="49" t="n"/>
      <c r="AI133" s="115" t="n"/>
      <c r="AJ133" s="83" t="n"/>
      <c r="AK133" s="49" t="n"/>
      <c r="AL133" s="49" t="n"/>
      <c r="AM133" s="115" t="n"/>
      <c r="AN133" s="83" t="n"/>
      <c r="AO133" s="49" t="n"/>
      <c r="AP133" s="49" t="n"/>
      <c r="AQ133" s="117" t="n"/>
      <c r="AR133" s="83" t="n"/>
      <c r="AS133" s="49" t="n"/>
      <c r="AT133" s="50" t="n"/>
      <c r="AU133" s="115" t="n"/>
      <c r="AV133" s="83" t="n"/>
      <c r="AW133" s="49" t="n"/>
      <c r="AX133" s="49" t="n"/>
      <c r="AY133" s="115" t="n"/>
      <c r="AZ133" s="83" t="n"/>
      <c r="BA133" s="49" t="n"/>
      <c r="BB133" s="49" t="n"/>
      <c r="BC133" s="115" t="n"/>
      <c r="BD133" s="110">
        <f>SUM(K133,O133,S133,W133,AA133,AE133,AI133,AM133,AQ133,AU133,AY133,BC133)</f>
        <v/>
      </c>
      <c r="BE133" s="45" t="n"/>
      <c r="BF133" s="113" t="n"/>
      <c r="BG133" s="45" t="n"/>
      <c r="BH133" s="113" t="n"/>
      <c r="BI133" s="45" t="n"/>
      <c r="BJ133" s="113" t="n"/>
      <c r="BK133" s="45" t="n"/>
      <c r="BL133" s="113" t="n"/>
      <c r="BM133" s="45" t="n"/>
      <c r="BN133" s="113" t="n"/>
      <c r="BO133" s="114">
        <f>SUM(BF133,BH133,BJ133,BL133,BN133)</f>
        <v/>
      </c>
      <c r="BP133" s="45" t="n"/>
      <c r="BQ133" s="45" t="n"/>
      <c r="BR133" s="113" t="n"/>
      <c r="BS133" s="45" t="n"/>
      <c r="BT133" s="113" t="n"/>
      <c r="BU133" s="45" t="n"/>
      <c r="BV133" s="113" t="n"/>
      <c r="BW133" s="114">
        <f>SUM(BR133,BT133,BV133)</f>
        <v/>
      </c>
      <c r="BX133" s="45" t="n"/>
      <c r="BY133" s="114">
        <f>BD133 - IF(BP133="Y", 0, BO133) - IF(BX133="Y", 0, BW133)</f>
        <v/>
      </c>
      <c r="CK133" s="73" t="n"/>
      <c r="CL133" s="73" t="n"/>
      <c r="CM133" s="73" t="n"/>
      <c r="CN133" s="73" t="n"/>
      <c r="CO133" s="73" t="n"/>
      <c r="CP133" s="73" t="n"/>
      <c r="CQ133" s="73" t="n"/>
      <c r="CR133" s="73" t="n"/>
      <c r="CS133" s="73" t="n"/>
    </row>
    <row r="134" ht="13.5" customHeight="1">
      <c r="B134" s="47">
        <f>$B$3</f>
        <v/>
      </c>
      <c r="C134" s="48">
        <f>$C$3</f>
        <v/>
      </c>
      <c r="D134" s="40">
        <f>IF(SUM(COUNTIF(H134, "*"), COUNTIF(L134, "*"), COUNTIF(P134, "*"), COUNTIF(T134, "*"), COUNTIF(X134, "*"), COUNTIF(AB134, "*"), COUNTIF(AF134, "*"), COUNTIF(AJ134, "*"), COUNTIF(AN134, "*"), COUNTIF(AR134, "*"), COUNTIF(AV134, "*"), COUNTIF(AZ134, "*"))&gt;0, "Y", "N")</f>
        <v/>
      </c>
      <c r="E134" s="49" t="n"/>
      <c r="F134" s="49" t="n"/>
      <c r="G134" s="59" t="n">
        <v>49827</v>
      </c>
      <c r="H134" s="83" t="n"/>
      <c r="I134" s="49" t="n"/>
      <c r="J134" s="50" t="n"/>
      <c r="K134" s="115" t="n"/>
      <c r="L134" s="83" t="n"/>
      <c r="M134" s="49" t="n"/>
      <c r="N134" s="49" t="n"/>
      <c r="O134" s="115" t="n"/>
      <c r="P134" s="83" t="n"/>
      <c r="Q134" s="49" t="n"/>
      <c r="R134" s="49" t="n"/>
      <c r="S134" s="115" t="n"/>
      <c r="T134" s="83" t="n"/>
      <c r="U134" s="49" t="n"/>
      <c r="V134" s="49" t="n"/>
      <c r="W134" s="116" t="n"/>
      <c r="X134" s="83" t="n"/>
      <c r="Y134" s="49" t="n"/>
      <c r="Z134" s="49" t="n"/>
      <c r="AA134" s="115" t="n"/>
      <c r="AB134" s="83" t="n"/>
      <c r="AC134" s="49" t="n"/>
      <c r="AD134" s="49" t="n"/>
      <c r="AE134" s="115" t="n"/>
      <c r="AF134" s="83" t="n"/>
      <c r="AG134" s="49" t="n"/>
      <c r="AH134" s="49" t="n"/>
      <c r="AI134" s="115" t="n"/>
      <c r="AJ134" s="83" t="n"/>
      <c r="AK134" s="49" t="n"/>
      <c r="AL134" s="49" t="n"/>
      <c r="AM134" s="115" t="n"/>
      <c r="AN134" s="83" t="n"/>
      <c r="AO134" s="49" t="n"/>
      <c r="AP134" s="49" t="n"/>
      <c r="AQ134" s="117" t="n"/>
      <c r="AR134" s="83" t="n"/>
      <c r="AS134" s="49" t="n"/>
      <c r="AT134" s="50" t="n"/>
      <c r="AU134" s="115" t="n"/>
      <c r="AV134" s="83" t="n"/>
      <c r="AW134" s="49" t="n"/>
      <c r="AX134" s="49" t="n"/>
      <c r="AY134" s="115" t="n"/>
      <c r="AZ134" s="83" t="n"/>
      <c r="BA134" s="49" t="n"/>
      <c r="BB134" s="49" t="n"/>
      <c r="BC134" s="115" t="n"/>
      <c r="BD134" s="110">
        <f>SUM(K134,O134,S134,W134,AA134,AE134,AI134,AM134,AQ134,AU134,AY134,BC134)</f>
        <v/>
      </c>
      <c r="BE134" s="45" t="n"/>
      <c r="BF134" s="113" t="n"/>
      <c r="BG134" s="45" t="n"/>
      <c r="BH134" s="113" t="n"/>
      <c r="BI134" s="45" t="n"/>
      <c r="BJ134" s="113" t="n"/>
      <c r="BK134" s="45" t="n"/>
      <c r="BL134" s="113" t="n"/>
      <c r="BM134" s="45" t="n"/>
      <c r="BN134" s="113" t="n"/>
      <c r="BO134" s="114">
        <f>SUM(BF134,BH134,BJ134,BL134,BN134)</f>
        <v/>
      </c>
      <c r="BP134" s="45" t="n"/>
      <c r="BQ134" s="45" t="n"/>
      <c r="BR134" s="113" t="n"/>
      <c r="BS134" s="45" t="n"/>
      <c r="BT134" s="113" t="n"/>
      <c r="BU134" s="45" t="n"/>
      <c r="BV134" s="113" t="n"/>
      <c r="BW134" s="114">
        <f>SUM(BR134,BT134,BV134)</f>
        <v/>
      </c>
      <c r="BX134" s="45" t="n"/>
      <c r="BY134" s="114">
        <f>BD134 - IF(BP134="Y", 0, BO134) - IF(BX134="Y", 0, BW134)</f>
        <v/>
      </c>
      <c r="CK134" s="73" t="n"/>
      <c r="CL134" s="73" t="n"/>
      <c r="CM134" s="73" t="n"/>
      <c r="CN134" s="73" t="n"/>
      <c r="CO134" s="73" t="n"/>
      <c r="CP134" s="73" t="n"/>
      <c r="CQ134" s="73" t="n"/>
      <c r="CR134" s="73" t="n"/>
      <c r="CS134" s="73" t="n"/>
    </row>
    <row r="135" ht="13.5" customHeight="1">
      <c r="B135" s="47">
        <f>$B$3</f>
        <v/>
      </c>
      <c r="C135" s="48">
        <f>$C$3</f>
        <v/>
      </c>
      <c r="D135" s="40">
        <f>IF(SUM(COUNTIF(H135, "*"), COUNTIF(L135, "*"), COUNTIF(P135, "*"), COUNTIF(T135, "*"), COUNTIF(X135, "*"), COUNTIF(AB135, "*"), COUNTIF(AF135, "*"), COUNTIF(AJ135, "*"), COUNTIF(AN135, "*"), COUNTIF(AR135, "*"), COUNTIF(AV135, "*"), COUNTIF(AZ135, "*"))&gt;0, "Y", "N")</f>
        <v/>
      </c>
      <c r="E135" s="49" t="n"/>
      <c r="F135" s="49" t="n"/>
      <c r="G135" s="59" t="n">
        <v>49857</v>
      </c>
      <c r="H135" s="83" t="n"/>
      <c r="I135" s="49" t="n"/>
      <c r="J135" s="50" t="n"/>
      <c r="K135" s="115" t="n"/>
      <c r="L135" s="83" t="n"/>
      <c r="M135" s="49" t="n"/>
      <c r="N135" s="49" t="n"/>
      <c r="O135" s="115" t="n"/>
      <c r="P135" s="83" t="n"/>
      <c r="Q135" s="49" t="n"/>
      <c r="R135" s="49" t="n"/>
      <c r="S135" s="115" t="n"/>
      <c r="T135" s="83" t="n"/>
      <c r="U135" s="49" t="n"/>
      <c r="V135" s="49" t="n"/>
      <c r="W135" s="116" t="n"/>
      <c r="X135" s="83" t="n"/>
      <c r="Y135" s="49" t="n"/>
      <c r="Z135" s="49" t="n"/>
      <c r="AA135" s="115" t="n"/>
      <c r="AB135" s="83" t="n"/>
      <c r="AC135" s="49" t="n"/>
      <c r="AD135" s="49" t="n"/>
      <c r="AE135" s="115" t="n"/>
      <c r="AF135" s="83" t="n"/>
      <c r="AG135" s="49" t="n"/>
      <c r="AH135" s="49" t="n"/>
      <c r="AI135" s="115" t="n"/>
      <c r="AJ135" s="83" t="n"/>
      <c r="AK135" s="49" t="n"/>
      <c r="AL135" s="49" t="n"/>
      <c r="AM135" s="115" t="n"/>
      <c r="AN135" s="83" t="n"/>
      <c r="AO135" s="49" t="n"/>
      <c r="AP135" s="49" t="n"/>
      <c r="AQ135" s="117" t="n"/>
      <c r="AR135" s="83" t="n"/>
      <c r="AS135" s="49" t="n"/>
      <c r="AT135" s="50" t="n"/>
      <c r="AU135" s="115" t="n"/>
      <c r="AV135" s="83" t="n"/>
      <c r="AW135" s="49" t="n"/>
      <c r="AX135" s="49" t="n"/>
      <c r="AY135" s="115" t="n"/>
      <c r="AZ135" s="83" t="n"/>
      <c r="BA135" s="49" t="n"/>
      <c r="BB135" s="49" t="n"/>
      <c r="BC135" s="115" t="n"/>
      <c r="BD135" s="110">
        <f>SUM(K135,O135,S135,W135,AA135,AE135,AI135,AM135,AQ135,AU135,AY135,BC135)</f>
        <v/>
      </c>
      <c r="BE135" s="45" t="n"/>
      <c r="BF135" s="113" t="n"/>
      <c r="BG135" s="45" t="n"/>
      <c r="BH135" s="113" t="n"/>
      <c r="BI135" s="45" t="n"/>
      <c r="BJ135" s="113" t="n"/>
      <c r="BK135" s="45" t="n"/>
      <c r="BL135" s="113" t="n"/>
      <c r="BM135" s="45" t="n"/>
      <c r="BN135" s="113" t="n"/>
      <c r="BO135" s="114">
        <f>SUM(BF135,BH135,BJ135,BL135,BN135)</f>
        <v/>
      </c>
      <c r="BP135" s="45" t="n"/>
      <c r="BQ135" s="45" t="n"/>
      <c r="BR135" s="113" t="n"/>
      <c r="BS135" s="45" t="n"/>
      <c r="BT135" s="113" t="n"/>
      <c r="BU135" s="45" t="n"/>
      <c r="BV135" s="113" t="n"/>
      <c r="BW135" s="114">
        <f>SUM(BR135,BT135,BV135)</f>
        <v/>
      </c>
      <c r="BX135" s="45" t="n"/>
      <c r="BY135" s="114">
        <f>BD135 - IF(BP135="Y", 0, BO135) - IF(BX135="Y", 0, BW135)</f>
        <v/>
      </c>
      <c r="CK135" s="73" t="n"/>
      <c r="CL135" s="73" t="n"/>
      <c r="CM135" s="73" t="n"/>
      <c r="CN135" s="73" t="n"/>
      <c r="CO135" s="73" t="n"/>
      <c r="CP135" s="73" t="n"/>
      <c r="CQ135" s="73" t="n"/>
      <c r="CR135" s="73" t="n"/>
      <c r="CS135" s="73" t="n"/>
    </row>
    <row r="136" ht="13.5" customHeight="1">
      <c r="B136" s="47">
        <f>$B$3</f>
        <v/>
      </c>
      <c r="C136" s="48">
        <f>$C$3</f>
        <v/>
      </c>
      <c r="D136" s="40">
        <f>IF(SUM(COUNTIF(H136, "*"), COUNTIF(L136, "*"), COUNTIF(P136, "*"), COUNTIF(T136, "*"), COUNTIF(X136, "*"), COUNTIF(AB136, "*"), COUNTIF(AF136, "*"), COUNTIF(AJ136, "*"), COUNTIF(AN136, "*"), COUNTIF(AR136, "*"), COUNTIF(AV136, "*"), COUNTIF(AZ136, "*"))&gt;0, "Y", "N")</f>
        <v/>
      </c>
      <c r="E136" s="49" t="n"/>
      <c r="F136" s="49" t="n"/>
      <c r="G136" s="59" t="n">
        <v>49888</v>
      </c>
      <c r="H136" s="83" t="n"/>
      <c r="I136" s="49" t="n"/>
      <c r="J136" s="50" t="n"/>
      <c r="K136" s="115" t="n"/>
      <c r="L136" s="83" t="n"/>
      <c r="M136" s="49" t="n"/>
      <c r="N136" s="49" t="n"/>
      <c r="O136" s="115" t="n"/>
      <c r="P136" s="83" t="n"/>
      <c r="Q136" s="49" t="n"/>
      <c r="R136" s="49" t="n"/>
      <c r="S136" s="115" t="n"/>
      <c r="T136" s="83" t="n"/>
      <c r="U136" s="49" t="n"/>
      <c r="V136" s="49" t="n"/>
      <c r="W136" s="116" t="n"/>
      <c r="X136" s="83" t="n"/>
      <c r="Y136" s="49" t="n"/>
      <c r="Z136" s="49" t="n"/>
      <c r="AA136" s="115" t="n"/>
      <c r="AB136" s="83" t="n"/>
      <c r="AC136" s="49" t="n"/>
      <c r="AD136" s="49" t="n"/>
      <c r="AE136" s="115" t="n"/>
      <c r="AF136" s="83" t="n"/>
      <c r="AG136" s="49" t="n"/>
      <c r="AH136" s="49" t="n"/>
      <c r="AI136" s="115" t="n"/>
      <c r="AJ136" s="83" t="n"/>
      <c r="AK136" s="49" t="n"/>
      <c r="AL136" s="49" t="n"/>
      <c r="AM136" s="115" t="n"/>
      <c r="AN136" s="83" t="n"/>
      <c r="AO136" s="49" t="n"/>
      <c r="AP136" s="49" t="n"/>
      <c r="AQ136" s="117" t="n"/>
      <c r="AR136" s="83" t="n"/>
      <c r="AS136" s="49" t="n"/>
      <c r="AT136" s="50" t="n"/>
      <c r="AU136" s="115" t="n"/>
      <c r="AV136" s="83" t="n"/>
      <c r="AW136" s="49" t="n"/>
      <c r="AX136" s="49" t="n"/>
      <c r="AY136" s="115" t="n"/>
      <c r="AZ136" s="83" t="n"/>
      <c r="BA136" s="49" t="n"/>
      <c r="BB136" s="49" t="n"/>
      <c r="BC136" s="115" t="n"/>
      <c r="BD136" s="110">
        <f>SUM(K136,O136,S136,W136,AA136,AE136,AI136,AM136,AQ136,AU136,AY136,BC136)</f>
        <v/>
      </c>
      <c r="BE136" s="45" t="n"/>
      <c r="BF136" s="113" t="n"/>
      <c r="BG136" s="45" t="n"/>
      <c r="BH136" s="113" t="n"/>
      <c r="BI136" s="45" t="n"/>
      <c r="BJ136" s="113" t="n"/>
      <c r="BK136" s="45" t="n"/>
      <c r="BL136" s="113" t="n"/>
      <c r="BM136" s="45" t="n"/>
      <c r="BN136" s="113" t="n"/>
      <c r="BO136" s="114">
        <f>SUM(BF136,BH136,BJ136,BL136,BN136)</f>
        <v/>
      </c>
      <c r="BP136" s="45" t="n"/>
      <c r="BQ136" s="45" t="n"/>
      <c r="BR136" s="113" t="n"/>
      <c r="BS136" s="45" t="n"/>
      <c r="BT136" s="113" t="n"/>
      <c r="BU136" s="45" t="n"/>
      <c r="BV136" s="113" t="n"/>
      <c r="BW136" s="114">
        <f>SUM(BR136,BT136,BV136)</f>
        <v/>
      </c>
      <c r="BX136" s="45" t="n"/>
      <c r="BY136" s="114">
        <f>BD136 - IF(BP136="Y", 0, BO136) - IF(BX136="Y", 0, BW136)</f>
        <v/>
      </c>
      <c r="CK136" s="73" t="n"/>
      <c r="CL136" s="73" t="n"/>
      <c r="CM136" s="73" t="n"/>
      <c r="CN136" s="73" t="n"/>
      <c r="CO136" s="73" t="n"/>
      <c r="CP136" s="73" t="n"/>
      <c r="CQ136" s="73" t="n"/>
      <c r="CR136" s="73" t="n"/>
      <c r="CS136" s="73" t="n"/>
    </row>
    <row r="137" ht="13.5" customHeight="1">
      <c r="B137" s="47">
        <f>$B$3</f>
        <v/>
      </c>
      <c r="C137" s="48">
        <f>$C$3</f>
        <v/>
      </c>
      <c r="D137" s="40">
        <f>IF(SUM(COUNTIF(H137, "*"), COUNTIF(L137, "*"), COUNTIF(P137, "*"), COUNTIF(T137, "*"), COUNTIF(X137, "*"), COUNTIF(AB137, "*"), COUNTIF(AF137, "*"), COUNTIF(AJ137, "*"), COUNTIF(AN137, "*"), COUNTIF(AR137, "*"), COUNTIF(AV137, "*"), COUNTIF(AZ137, "*"))&gt;0, "Y", "N")</f>
        <v/>
      </c>
      <c r="E137" s="49" t="n"/>
      <c r="F137" s="49" t="n"/>
      <c r="G137" s="59" t="n">
        <v>49919</v>
      </c>
      <c r="H137" s="83" t="n"/>
      <c r="I137" s="49" t="n"/>
      <c r="J137" s="50" t="n"/>
      <c r="K137" s="115" t="n"/>
      <c r="L137" s="83" t="n"/>
      <c r="M137" s="49" t="n"/>
      <c r="N137" s="49" t="n"/>
      <c r="O137" s="115" t="n"/>
      <c r="P137" s="83" t="n"/>
      <c r="Q137" s="49" t="n"/>
      <c r="R137" s="49" t="n"/>
      <c r="S137" s="115" t="n"/>
      <c r="T137" s="83" t="n"/>
      <c r="U137" s="49" t="n"/>
      <c r="V137" s="49" t="n"/>
      <c r="W137" s="116" t="n"/>
      <c r="X137" s="83" t="n"/>
      <c r="Y137" s="49" t="n"/>
      <c r="Z137" s="49" t="n"/>
      <c r="AA137" s="115" t="n"/>
      <c r="AB137" s="83" t="n"/>
      <c r="AC137" s="49" t="n"/>
      <c r="AD137" s="49" t="n"/>
      <c r="AE137" s="115" t="n"/>
      <c r="AF137" s="83" t="n"/>
      <c r="AG137" s="49" t="n"/>
      <c r="AH137" s="49" t="n"/>
      <c r="AI137" s="115" t="n"/>
      <c r="AJ137" s="83" t="n"/>
      <c r="AK137" s="49" t="n"/>
      <c r="AL137" s="49" t="n"/>
      <c r="AM137" s="115" t="n"/>
      <c r="AN137" s="83" t="n"/>
      <c r="AO137" s="49" t="n"/>
      <c r="AP137" s="49" t="n"/>
      <c r="AQ137" s="117" t="n"/>
      <c r="AR137" s="83" t="n"/>
      <c r="AS137" s="49" t="n"/>
      <c r="AT137" s="50" t="n"/>
      <c r="AU137" s="115" t="n"/>
      <c r="AV137" s="83" t="n"/>
      <c r="AW137" s="49" t="n"/>
      <c r="AX137" s="49" t="n"/>
      <c r="AY137" s="115" t="n"/>
      <c r="AZ137" s="83" t="n"/>
      <c r="BA137" s="49" t="n"/>
      <c r="BB137" s="49" t="n"/>
      <c r="BC137" s="115" t="n"/>
      <c r="BD137" s="110">
        <f>SUM(K137,O137,S137,W137,AA137,AE137,AI137,AM137,AQ137,AU137,AY137,BC137)</f>
        <v/>
      </c>
      <c r="BE137" s="45" t="n"/>
      <c r="BF137" s="113" t="n"/>
      <c r="BG137" s="45" t="n"/>
      <c r="BH137" s="113" t="n"/>
      <c r="BI137" s="45" t="n"/>
      <c r="BJ137" s="113" t="n"/>
      <c r="BK137" s="45" t="n"/>
      <c r="BL137" s="113" t="n"/>
      <c r="BM137" s="45" t="n"/>
      <c r="BN137" s="113" t="n"/>
      <c r="BO137" s="114">
        <f>SUM(BF137,BH137,BJ137,BL137,BN137)</f>
        <v/>
      </c>
      <c r="BP137" s="45" t="n"/>
      <c r="BQ137" s="45" t="n"/>
      <c r="BR137" s="113" t="n"/>
      <c r="BS137" s="45" t="n"/>
      <c r="BT137" s="113" t="n"/>
      <c r="BU137" s="45" t="n"/>
      <c r="BV137" s="113" t="n"/>
      <c r="BW137" s="114">
        <f>SUM(BR137,BT137,BV137)</f>
        <v/>
      </c>
      <c r="BX137" s="45" t="n"/>
      <c r="BY137" s="114">
        <f>BD137 - IF(BP137="Y", 0, BO137) - IF(BX137="Y", 0, BW137)</f>
        <v/>
      </c>
      <c r="CK137" s="73" t="n"/>
      <c r="CL137" s="73" t="n"/>
      <c r="CM137" s="73" t="n"/>
      <c r="CN137" s="73" t="n"/>
      <c r="CO137" s="73" t="n"/>
      <c r="CP137" s="73" t="n"/>
      <c r="CQ137" s="73" t="n"/>
      <c r="CR137" s="73" t="n"/>
      <c r="CS137" s="73" t="n"/>
    </row>
    <row r="138" ht="13.5" customHeight="1">
      <c r="B138" s="47">
        <f>$B$3</f>
        <v/>
      </c>
      <c r="C138" s="48">
        <f>$C$3</f>
        <v/>
      </c>
      <c r="D138" s="40">
        <f>IF(SUM(COUNTIF(H138, "*"), COUNTIF(L138, "*"), COUNTIF(P138, "*"), COUNTIF(T138, "*"), COUNTIF(X138, "*"), COUNTIF(AB138, "*"), COUNTIF(AF138, "*"), COUNTIF(AJ138, "*"), COUNTIF(AN138, "*"), COUNTIF(AR138, "*"), COUNTIF(AV138, "*"), COUNTIF(AZ138, "*"))&gt;0, "Y", "N")</f>
        <v/>
      </c>
      <c r="E138" s="49" t="n"/>
      <c r="F138" s="49" t="n"/>
      <c r="G138" s="59" t="n">
        <v>49949</v>
      </c>
      <c r="H138" s="83" t="n"/>
      <c r="I138" s="49" t="n"/>
      <c r="J138" s="50" t="n"/>
      <c r="K138" s="115" t="n"/>
      <c r="L138" s="83" t="n"/>
      <c r="M138" s="49" t="n"/>
      <c r="N138" s="49" t="n"/>
      <c r="O138" s="115" t="n"/>
      <c r="P138" s="83" t="n"/>
      <c r="Q138" s="49" t="n"/>
      <c r="R138" s="49" t="n"/>
      <c r="S138" s="115" t="n"/>
      <c r="T138" s="83" t="n"/>
      <c r="U138" s="49" t="n"/>
      <c r="V138" s="49" t="n"/>
      <c r="W138" s="116" t="n"/>
      <c r="X138" s="83" t="n"/>
      <c r="Y138" s="49" t="n"/>
      <c r="Z138" s="49" t="n"/>
      <c r="AA138" s="115" t="n"/>
      <c r="AB138" s="83" t="n"/>
      <c r="AC138" s="49" t="n"/>
      <c r="AD138" s="49" t="n"/>
      <c r="AE138" s="115" t="n"/>
      <c r="AF138" s="83" t="n"/>
      <c r="AG138" s="49" t="n"/>
      <c r="AH138" s="49" t="n"/>
      <c r="AI138" s="115" t="n"/>
      <c r="AJ138" s="83" t="n"/>
      <c r="AK138" s="49" t="n"/>
      <c r="AL138" s="49" t="n"/>
      <c r="AM138" s="115" t="n"/>
      <c r="AN138" s="83" t="n"/>
      <c r="AO138" s="49" t="n"/>
      <c r="AP138" s="49" t="n"/>
      <c r="AQ138" s="117" t="n"/>
      <c r="AR138" s="83" t="n"/>
      <c r="AS138" s="49" t="n"/>
      <c r="AT138" s="50" t="n"/>
      <c r="AU138" s="115" t="n"/>
      <c r="AV138" s="83" t="n"/>
      <c r="AW138" s="49" t="n"/>
      <c r="AX138" s="49" t="n"/>
      <c r="AY138" s="115" t="n"/>
      <c r="AZ138" s="83" t="n"/>
      <c r="BA138" s="49" t="n"/>
      <c r="BB138" s="49" t="n"/>
      <c r="BC138" s="115" t="n"/>
      <c r="BD138" s="110">
        <f>SUM(K138,O138,S138,W138,AA138,AE138,AI138,AM138,AQ138,AU138,AY138,BC138)</f>
        <v/>
      </c>
      <c r="BE138" s="45" t="n"/>
      <c r="BF138" s="113" t="n"/>
      <c r="BG138" s="45" t="n"/>
      <c r="BH138" s="113" t="n"/>
      <c r="BI138" s="45" t="n"/>
      <c r="BJ138" s="113" t="n"/>
      <c r="BK138" s="45" t="n"/>
      <c r="BL138" s="113" t="n"/>
      <c r="BM138" s="45" t="n"/>
      <c r="BN138" s="113" t="n"/>
      <c r="BO138" s="114">
        <f>SUM(BF138,BH138,BJ138,BL138,BN138)</f>
        <v/>
      </c>
      <c r="BP138" s="45" t="n"/>
      <c r="BQ138" s="45" t="n"/>
      <c r="BR138" s="113" t="n"/>
      <c r="BS138" s="45" t="n"/>
      <c r="BT138" s="113" t="n"/>
      <c r="BU138" s="45" t="n"/>
      <c r="BV138" s="113" t="n"/>
      <c r="BW138" s="114">
        <f>SUM(BR138,BT138,BV138)</f>
        <v/>
      </c>
      <c r="BX138" s="45" t="n"/>
      <c r="BY138" s="114">
        <f>BD138 - IF(BP138="Y", 0, BO138) - IF(BX138="Y", 0, BW138)</f>
        <v/>
      </c>
      <c r="CK138" s="73" t="n"/>
      <c r="CL138" s="73" t="n"/>
      <c r="CM138" s="73" t="n"/>
      <c r="CN138" s="73" t="n"/>
      <c r="CO138" s="73" t="n"/>
      <c r="CP138" s="73" t="n"/>
      <c r="CQ138" s="73" t="n"/>
      <c r="CR138" s="73" t="n"/>
      <c r="CS138" s="73" t="n"/>
    </row>
    <row r="139" ht="13.5" customHeight="1">
      <c r="B139" s="47">
        <f>$B$3</f>
        <v/>
      </c>
      <c r="C139" s="48">
        <f>$C$3</f>
        <v/>
      </c>
      <c r="D139" s="40">
        <f>IF(SUM(COUNTIF(H139, "*"), COUNTIF(L139, "*"), COUNTIF(P139, "*"), COUNTIF(T139, "*"), COUNTIF(X139, "*"), COUNTIF(AB139, "*"), COUNTIF(AF139, "*"), COUNTIF(AJ139, "*"), COUNTIF(AN139, "*"), COUNTIF(AR139, "*"), COUNTIF(AV139, "*"), COUNTIF(AZ139, "*"))&gt;0, "Y", "N")</f>
        <v/>
      </c>
      <c r="E139" s="49" t="n"/>
      <c r="F139" s="49" t="n"/>
      <c r="G139" s="59" t="n">
        <v>49980</v>
      </c>
      <c r="H139" s="83" t="n"/>
      <c r="I139" s="49" t="n"/>
      <c r="J139" s="50" t="n"/>
      <c r="K139" s="115" t="n"/>
      <c r="L139" s="83" t="n"/>
      <c r="M139" s="49" t="n"/>
      <c r="N139" s="49" t="n"/>
      <c r="O139" s="115" t="n"/>
      <c r="P139" s="83" t="n"/>
      <c r="Q139" s="49" t="n"/>
      <c r="R139" s="49" t="n"/>
      <c r="S139" s="115" t="n"/>
      <c r="T139" s="83" t="n"/>
      <c r="U139" s="49" t="n"/>
      <c r="V139" s="49" t="n"/>
      <c r="W139" s="116" t="n"/>
      <c r="X139" s="83" t="n"/>
      <c r="Y139" s="49" t="n"/>
      <c r="Z139" s="49" t="n"/>
      <c r="AA139" s="115" t="n"/>
      <c r="AB139" s="83" t="n"/>
      <c r="AC139" s="49" t="n"/>
      <c r="AD139" s="49" t="n"/>
      <c r="AE139" s="115" t="n"/>
      <c r="AF139" s="83" t="n"/>
      <c r="AG139" s="49" t="n"/>
      <c r="AH139" s="49" t="n"/>
      <c r="AI139" s="115" t="n"/>
      <c r="AJ139" s="83" t="n"/>
      <c r="AK139" s="49" t="n"/>
      <c r="AL139" s="49" t="n"/>
      <c r="AM139" s="115" t="n"/>
      <c r="AN139" s="83" t="n"/>
      <c r="AO139" s="49" t="n"/>
      <c r="AP139" s="49" t="n"/>
      <c r="AQ139" s="117" t="n"/>
      <c r="AR139" s="83" t="n"/>
      <c r="AS139" s="49" t="n"/>
      <c r="AT139" s="50" t="n"/>
      <c r="AU139" s="115" t="n"/>
      <c r="AV139" s="83" t="n"/>
      <c r="AW139" s="49" t="n"/>
      <c r="AX139" s="49" t="n"/>
      <c r="AY139" s="115" t="n"/>
      <c r="AZ139" s="83" t="n"/>
      <c r="BA139" s="49" t="n"/>
      <c r="BB139" s="49" t="n"/>
      <c r="BC139" s="115" t="n"/>
      <c r="BD139" s="110">
        <f>SUM(K139,O139,S139,W139,AA139,AE139,AI139,AM139,AQ139,AU139,AY139,BC139)</f>
        <v/>
      </c>
      <c r="BE139" s="45" t="n"/>
      <c r="BF139" s="113" t="n"/>
      <c r="BG139" s="45" t="n"/>
      <c r="BH139" s="113" t="n"/>
      <c r="BI139" s="45" t="n"/>
      <c r="BJ139" s="113" t="n"/>
      <c r="BK139" s="45" t="n"/>
      <c r="BL139" s="113" t="n"/>
      <c r="BM139" s="45" t="n"/>
      <c r="BN139" s="113" t="n"/>
      <c r="BO139" s="114">
        <f>SUM(BF139,BH139,BJ139,BL139,BN139)</f>
        <v/>
      </c>
      <c r="BP139" s="45" t="n"/>
      <c r="BQ139" s="45" t="n"/>
      <c r="BR139" s="113" t="n"/>
      <c r="BS139" s="45" t="n"/>
      <c r="BT139" s="113" t="n"/>
      <c r="BU139" s="45" t="n"/>
      <c r="BV139" s="113" t="n"/>
      <c r="BW139" s="114">
        <f>SUM(BR139,BT139,BV139)</f>
        <v/>
      </c>
      <c r="BX139" s="45" t="n"/>
      <c r="BY139" s="114">
        <f>BD139 - IF(BP139="Y", 0, BO139) - IF(BX139="Y", 0, BW139)</f>
        <v/>
      </c>
      <c r="CK139" s="73" t="n"/>
      <c r="CL139" s="73" t="n"/>
      <c r="CM139" s="73" t="n"/>
      <c r="CN139" s="73" t="n"/>
      <c r="CO139" s="73" t="n"/>
      <c r="CP139" s="73" t="n"/>
      <c r="CQ139" s="73" t="n"/>
      <c r="CR139" s="73" t="n"/>
      <c r="CS139" s="73" t="n"/>
    </row>
    <row r="140" ht="13.5" customHeight="1">
      <c r="B140" s="47">
        <f>$B$3</f>
        <v/>
      </c>
      <c r="C140" s="48">
        <f>$C$3</f>
        <v/>
      </c>
      <c r="D140" s="40">
        <f>IF(SUM(COUNTIF(H140, "*"), COUNTIF(L140, "*"), COUNTIF(P140, "*"), COUNTIF(T140, "*"), COUNTIF(X140, "*"), COUNTIF(AB140, "*"), COUNTIF(AF140, "*"), COUNTIF(AJ140, "*"), COUNTIF(AN140, "*"), COUNTIF(AR140, "*"), COUNTIF(AV140, "*"), COUNTIF(AZ140, "*"))&gt;0, "Y", "N")</f>
        <v/>
      </c>
      <c r="E140" s="49" t="n"/>
      <c r="F140" s="49" t="n"/>
      <c r="G140" s="59" t="n">
        <v>50010</v>
      </c>
      <c r="H140" s="83" t="n"/>
      <c r="I140" s="49" t="n"/>
      <c r="J140" s="50" t="n"/>
      <c r="K140" s="115" t="n"/>
      <c r="L140" s="83" t="n"/>
      <c r="M140" s="49" t="n"/>
      <c r="N140" s="49" t="n"/>
      <c r="O140" s="115" t="n"/>
      <c r="P140" s="83" t="n"/>
      <c r="Q140" s="49" t="n"/>
      <c r="R140" s="49" t="n"/>
      <c r="S140" s="115" t="n"/>
      <c r="T140" s="83" t="n"/>
      <c r="U140" s="49" t="n"/>
      <c r="V140" s="49" t="n"/>
      <c r="W140" s="116" t="n"/>
      <c r="X140" s="83" t="n"/>
      <c r="Y140" s="49" t="n"/>
      <c r="Z140" s="49" t="n"/>
      <c r="AA140" s="115" t="n"/>
      <c r="AB140" s="83" t="n"/>
      <c r="AC140" s="49" t="n"/>
      <c r="AD140" s="49" t="n"/>
      <c r="AE140" s="115" t="n"/>
      <c r="AF140" s="83" t="n"/>
      <c r="AG140" s="49" t="n"/>
      <c r="AH140" s="49" t="n"/>
      <c r="AI140" s="115" t="n"/>
      <c r="AJ140" s="83" t="n"/>
      <c r="AK140" s="49" t="n"/>
      <c r="AL140" s="49" t="n"/>
      <c r="AM140" s="115" t="n"/>
      <c r="AN140" s="83" t="n"/>
      <c r="AO140" s="49" t="n"/>
      <c r="AP140" s="49" t="n"/>
      <c r="AQ140" s="117" t="n"/>
      <c r="AR140" s="83" t="n"/>
      <c r="AS140" s="49" t="n"/>
      <c r="AT140" s="50" t="n"/>
      <c r="AU140" s="115" t="n"/>
      <c r="AV140" s="83" t="n"/>
      <c r="AW140" s="49" t="n"/>
      <c r="AX140" s="49" t="n"/>
      <c r="AY140" s="115" t="n"/>
      <c r="AZ140" s="83" t="n"/>
      <c r="BA140" s="49" t="n"/>
      <c r="BB140" s="49" t="n"/>
      <c r="BC140" s="115" t="n"/>
      <c r="BD140" s="110">
        <f>SUM(K140,O140,S140,W140,AA140,AE140,AI140,AM140,AQ140,AU140,AY140,BC140)</f>
        <v/>
      </c>
      <c r="BE140" s="45" t="n"/>
      <c r="BF140" s="113" t="n"/>
      <c r="BG140" s="45" t="n"/>
      <c r="BH140" s="113" t="n"/>
      <c r="BI140" s="45" t="n"/>
      <c r="BJ140" s="113" t="n"/>
      <c r="BK140" s="45" t="n"/>
      <c r="BL140" s="113" t="n"/>
      <c r="BM140" s="45" t="n"/>
      <c r="BN140" s="113" t="n"/>
      <c r="BO140" s="114">
        <f>SUM(BF140,BH140,BJ140,BL140,BN140)</f>
        <v/>
      </c>
      <c r="BP140" s="45" t="n"/>
      <c r="BQ140" s="45" t="n"/>
      <c r="BR140" s="113" t="n"/>
      <c r="BS140" s="45" t="n"/>
      <c r="BT140" s="113" t="n"/>
      <c r="BU140" s="45" t="n"/>
      <c r="BV140" s="113" t="n"/>
      <c r="BW140" s="114">
        <f>SUM(BR140,BT140,BV140)</f>
        <v/>
      </c>
      <c r="BX140" s="45" t="n"/>
      <c r="BY140" s="114">
        <f>BD140 - IF(BP140="Y", 0, BO140) - IF(BX140="Y", 0, BW140)</f>
        <v/>
      </c>
      <c r="CK140" s="73" t="n"/>
      <c r="CL140" s="73" t="n"/>
      <c r="CM140" s="73" t="n"/>
      <c r="CN140" s="73" t="n"/>
      <c r="CO140" s="73" t="n"/>
      <c r="CP140" s="73" t="n"/>
      <c r="CQ140" s="73" t="n"/>
      <c r="CR140" s="73" t="n"/>
      <c r="CS140" s="73" t="n"/>
    </row>
    <row r="141" ht="13.5" customHeight="1">
      <c r="B141" s="47">
        <f>$B$3</f>
        <v/>
      </c>
      <c r="C141" s="48">
        <f>$C$3</f>
        <v/>
      </c>
      <c r="D141" s="40">
        <f>IF(SUM(COUNTIF(H141, "*"), COUNTIF(L141, "*"), COUNTIF(P141, "*"), COUNTIF(T141, "*"), COUNTIF(X141, "*"), COUNTIF(AB141, "*"), COUNTIF(AF141, "*"), COUNTIF(AJ141, "*"), COUNTIF(AN141, "*"), COUNTIF(AR141, "*"), COUNTIF(AV141, "*"), COUNTIF(AZ141, "*"))&gt;0, "Y", "N")</f>
        <v/>
      </c>
      <c r="E141" s="49" t="n"/>
      <c r="F141" s="49" t="n"/>
      <c r="G141" s="59" t="n">
        <v>50041</v>
      </c>
      <c r="H141" s="83" t="n"/>
      <c r="I141" s="49" t="n"/>
      <c r="J141" s="50" t="n"/>
      <c r="K141" s="115" t="n"/>
      <c r="L141" s="83" t="n"/>
      <c r="M141" s="49" t="n"/>
      <c r="N141" s="49" t="n"/>
      <c r="O141" s="115" t="n"/>
      <c r="P141" s="83" t="n"/>
      <c r="Q141" s="49" t="n"/>
      <c r="R141" s="49" t="n"/>
      <c r="S141" s="115" t="n"/>
      <c r="T141" s="83" t="n"/>
      <c r="U141" s="49" t="n"/>
      <c r="V141" s="49" t="n"/>
      <c r="W141" s="116" t="n"/>
      <c r="X141" s="83" t="n"/>
      <c r="Y141" s="49" t="n"/>
      <c r="Z141" s="49" t="n"/>
      <c r="AA141" s="115" t="n"/>
      <c r="AB141" s="83" t="n"/>
      <c r="AC141" s="49" t="n"/>
      <c r="AD141" s="49" t="n"/>
      <c r="AE141" s="115" t="n"/>
      <c r="AF141" s="83" t="n"/>
      <c r="AG141" s="49" t="n"/>
      <c r="AH141" s="49" t="n"/>
      <c r="AI141" s="115" t="n"/>
      <c r="AJ141" s="83" t="n"/>
      <c r="AK141" s="49" t="n"/>
      <c r="AL141" s="49" t="n"/>
      <c r="AM141" s="115" t="n"/>
      <c r="AN141" s="83" t="n"/>
      <c r="AO141" s="49" t="n"/>
      <c r="AP141" s="49" t="n"/>
      <c r="AQ141" s="117" t="n"/>
      <c r="AR141" s="83" t="n"/>
      <c r="AS141" s="49" t="n"/>
      <c r="AT141" s="50" t="n"/>
      <c r="AU141" s="115" t="n"/>
      <c r="AV141" s="83" t="n"/>
      <c r="AW141" s="49" t="n"/>
      <c r="AX141" s="49" t="n"/>
      <c r="AY141" s="115" t="n"/>
      <c r="AZ141" s="83" t="n"/>
      <c r="BA141" s="49" t="n"/>
      <c r="BB141" s="49" t="n"/>
      <c r="BC141" s="115" t="n"/>
      <c r="BD141" s="110">
        <f>SUM(K141,O141,S141,W141,AA141,AE141,AI141,AM141,AQ141,AU141,AY141,BC141)</f>
        <v/>
      </c>
      <c r="BE141" s="45" t="n"/>
      <c r="BF141" s="113" t="n"/>
      <c r="BG141" s="45" t="n"/>
      <c r="BH141" s="113" t="n"/>
      <c r="BI141" s="45" t="n"/>
      <c r="BJ141" s="113" t="n"/>
      <c r="BK141" s="45" t="n"/>
      <c r="BL141" s="113" t="n"/>
      <c r="BM141" s="45" t="n"/>
      <c r="BN141" s="113" t="n"/>
      <c r="BO141" s="114">
        <f>SUM(BF141,BH141,BJ141,BL141,BN141)</f>
        <v/>
      </c>
      <c r="BP141" s="45" t="n"/>
      <c r="BQ141" s="45" t="n"/>
      <c r="BR141" s="113" t="n"/>
      <c r="BS141" s="45" t="n"/>
      <c r="BT141" s="113" t="n"/>
      <c r="BU141" s="45" t="n"/>
      <c r="BV141" s="113" t="n"/>
      <c r="BW141" s="114">
        <f>SUM(BR141,BT141,BV141)</f>
        <v/>
      </c>
      <c r="BX141" s="45" t="n"/>
      <c r="BY141" s="114">
        <f>BD141 - IF(BP141="Y", 0, BO141) - IF(BX141="Y", 0, BW141)</f>
        <v/>
      </c>
      <c r="CK141" s="73" t="n"/>
      <c r="CL141" s="73" t="n"/>
      <c r="CM141" s="73" t="n"/>
      <c r="CN141" s="73" t="n"/>
      <c r="CO141" s="73" t="n"/>
      <c r="CP141" s="73" t="n"/>
      <c r="CQ141" s="73" t="n"/>
      <c r="CR141" s="73" t="n"/>
      <c r="CS141" s="73" t="n"/>
    </row>
    <row r="142" ht="13.5" customHeight="1">
      <c r="B142" s="47">
        <f>$B$3</f>
        <v/>
      </c>
      <c r="C142" s="48">
        <f>$C$3</f>
        <v/>
      </c>
      <c r="D142" s="40">
        <f>IF(SUM(COUNTIF(H142, "*"), COUNTIF(L142, "*"), COUNTIF(P142, "*"), COUNTIF(T142, "*"), COUNTIF(X142, "*"), COUNTIF(AB142, "*"), COUNTIF(AF142, "*"), COUNTIF(AJ142, "*"), COUNTIF(AN142, "*"), COUNTIF(AR142, "*"), COUNTIF(AV142, "*"), COUNTIF(AZ142, "*"))&gt;0, "Y", "N")</f>
        <v/>
      </c>
      <c r="E142" s="49" t="n"/>
      <c r="F142" s="49" t="n"/>
      <c r="G142" s="59" t="n">
        <v>50072</v>
      </c>
      <c r="H142" s="83" t="n"/>
      <c r="I142" s="49" t="n"/>
      <c r="J142" s="50" t="n"/>
      <c r="K142" s="115" t="n"/>
      <c r="L142" s="83" t="n"/>
      <c r="M142" s="49" t="n"/>
      <c r="N142" s="49" t="n"/>
      <c r="O142" s="115" t="n"/>
      <c r="P142" s="83" t="n"/>
      <c r="Q142" s="49" t="n"/>
      <c r="R142" s="49" t="n"/>
      <c r="S142" s="115" t="n"/>
      <c r="T142" s="83" t="n"/>
      <c r="U142" s="49" t="n"/>
      <c r="V142" s="49" t="n"/>
      <c r="W142" s="116" t="n"/>
      <c r="X142" s="83" t="n"/>
      <c r="Y142" s="49" t="n"/>
      <c r="Z142" s="49" t="n"/>
      <c r="AA142" s="115" t="n"/>
      <c r="AB142" s="83" t="n"/>
      <c r="AC142" s="49" t="n"/>
      <c r="AD142" s="49" t="n"/>
      <c r="AE142" s="115" t="n"/>
      <c r="AF142" s="83" t="n"/>
      <c r="AG142" s="49" t="n"/>
      <c r="AH142" s="49" t="n"/>
      <c r="AI142" s="115" t="n"/>
      <c r="AJ142" s="83" t="n"/>
      <c r="AK142" s="49" t="n"/>
      <c r="AL142" s="49" t="n"/>
      <c r="AM142" s="115" t="n"/>
      <c r="AN142" s="83" t="n"/>
      <c r="AO142" s="49" t="n"/>
      <c r="AP142" s="49" t="n"/>
      <c r="AQ142" s="117" t="n"/>
      <c r="AR142" s="83" t="n"/>
      <c r="AS142" s="49" t="n"/>
      <c r="AT142" s="49" t="n"/>
      <c r="AU142" s="115" t="n"/>
      <c r="AV142" s="83" t="n"/>
      <c r="AW142" s="49" t="n"/>
      <c r="AX142" s="49" t="n"/>
      <c r="AY142" s="115" t="n"/>
      <c r="AZ142" s="83" t="n"/>
      <c r="BA142" s="49" t="n"/>
      <c r="BB142" s="49" t="n"/>
      <c r="BC142" s="115" t="n"/>
      <c r="BD142" s="110">
        <f>SUM(K142,O142,S142,W142,AA142,AE142,AI142,AM142,AQ142,AU142,AY142,BC142)</f>
        <v/>
      </c>
      <c r="BE142" s="45" t="n"/>
      <c r="BF142" s="113" t="n"/>
      <c r="BG142" s="45" t="n"/>
      <c r="BH142" s="113" t="n"/>
      <c r="BI142" s="45" t="n"/>
      <c r="BJ142" s="113" t="n"/>
      <c r="BK142" s="45" t="n"/>
      <c r="BL142" s="113" t="n"/>
      <c r="BM142" s="45" t="n"/>
      <c r="BN142" s="113" t="n"/>
      <c r="BO142" s="114">
        <f>SUM(BF142,BH142,BJ142,BL142,BN142)</f>
        <v/>
      </c>
      <c r="BP142" s="45" t="n"/>
      <c r="BQ142" s="45" t="n"/>
      <c r="BR142" s="113" t="n"/>
      <c r="BS142" s="45" t="n"/>
      <c r="BT142" s="113" t="n"/>
      <c r="BU142" s="45" t="n"/>
      <c r="BV142" s="113" t="n"/>
      <c r="BW142" s="114">
        <f>SUM(BR142,BT142,BV142)</f>
        <v/>
      </c>
      <c r="BX142" s="45" t="n"/>
      <c r="BY142" s="114">
        <f>BD142 - IF(BP142="Y", 0, BO142) - IF(BX142="Y", 0, BW142)</f>
        <v/>
      </c>
      <c r="CK142" s="73" t="n"/>
      <c r="CL142" s="73" t="n"/>
      <c r="CM142" s="73" t="n"/>
      <c r="CN142" s="73" t="n"/>
      <c r="CO142" s="73" t="n"/>
      <c r="CP142" s="73" t="n"/>
      <c r="CQ142" s="73" t="n"/>
      <c r="CR142" s="73" t="n"/>
      <c r="CS142" s="73" t="n"/>
    </row>
    <row r="143" ht="13.5" customHeight="1">
      <c r="B143" s="47">
        <f>$B$3</f>
        <v/>
      </c>
      <c r="C143" s="48">
        <f>$C$3</f>
        <v/>
      </c>
      <c r="D143" s="40">
        <f>IF(SUM(COUNTIF(H143, "*"), COUNTIF(L143, "*"), COUNTIF(P143, "*"), COUNTIF(T143, "*"), COUNTIF(X143, "*"), COUNTIF(AB143, "*"), COUNTIF(AF143, "*"), COUNTIF(AJ143, "*"), COUNTIF(AN143, "*"), COUNTIF(AR143, "*"), COUNTIF(AV143, "*"), COUNTIF(AZ143, "*"))&gt;0, "Y", "N")</f>
        <v/>
      </c>
      <c r="E143" s="49" t="n"/>
      <c r="F143" s="49" t="n"/>
      <c r="G143" s="59" t="n">
        <v>50100</v>
      </c>
      <c r="H143" s="83" t="n"/>
      <c r="I143" s="49" t="n"/>
      <c r="J143" s="50" t="n"/>
      <c r="K143" s="115" t="n"/>
      <c r="L143" s="83" t="n"/>
      <c r="M143" s="49" t="n"/>
      <c r="N143" s="49" t="n"/>
      <c r="O143" s="115" t="n"/>
      <c r="P143" s="83" t="n"/>
      <c r="Q143" s="49" t="n"/>
      <c r="R143" s="49" t="n"/>
      <c r="S143" s="115" t="n"/>
      <c r="T143" s="83" t="n"/>
      <c r="U143" s="49" t="n"/>
      <c r="V143" s="49" t="n"/>
      <c r="W143" s="116" t="n"/>
      <c r="X143" s="83" t="n"/>
      <c r="Y143" s="49" t="n"/>
      <c r="Z143" s="49" t="n"/>
      <c r="AA143" s="115" t="n"/>
      <c r="AB143" s="83" t="n"/>
      <c r="AC143" s="49" t="n"/>
      <c r="AD143" s="49" t="n"/>
      <c r="AE143" s="115" t="n"/>
      <c r="AF143" s="83" t="n"/>
      <c r="AG143" s="49" t="n"/>
      <c r="AH143" s="49" t="n"/>
      <c r="AI143" s="115" t="n"/>
      <c r="AJ143" s="83" t="n"/>
      <c r="AK143" s="49" t="n"/>
      <c r="AL143" s="49" t="n"/>
      <c r="AM143" s="115" t="n"/>
      <c r="AN143" s="83" t="n"/>
      <c r="AO143" s="49" t="n"/>
      <c r="AP143" s="49" t="n"/>
      <c r="AQ143" s="117" t="n"/>
      <c r="AR143" s="83" t="n"/>
      <c r="AS143" s="49" t="n"/>
      <c r="AT143" s="49" t="n"/>
      <c r="AU143" s="115" t="n"/>
      <c r="AV143" s="83" t="n"/>
      <c r="AW143" s="49" t="n"/>
      <c r="AX143" s="49" t="n"/>
      <c r="AY143" s="115" t="n"/>
      <c r="AZ143" s="83" t="n"/>
      <c r="BA143" s="49" t="n"/>
      <c r="BB143" s="49" t="n"/>
      <c r="BC143" s="115" t="n"/>
      <c r="BD143" s="110">
        <f>SUM(K143,O143,S143,W143,AA143,AE143,AI143,AM143,AQ143,AU143,AY143,BC143)</f>
        <v/>
      </c>
      <c r="BE143" s="45" t="n"/>
      <c r="BF143" s="113" t="n"/>
      <c r="BG143" s="45" t="n"/>
      <c r="BH143" s="113" t="n"/>
      <c r="BI143" s="45" t="n"/>
      <c r="BJ143" s="113" t="n"/>
      <c r="BK143" s="45" t="n"/>
      <c r="BL143" s="113" t="n"/>
      <c r="BM143" s="45" t="n"/>
      <c r="BN143" s="113" t="n"/>
      <c r="BO143" s="114">
        <f>SUM(BF143,BH143,BJ143,BL143,BN143)</f>
        <v/>
      </c>
      <c r="BP143" s="45" t="n"/>
      <c r="BQ143" s="45" t="n"/>
      <c r="BR143" s="113" t="n"/>
      <c r="BS143" s="45" t="n"/>
      <c r="BT143" s="113" t="n"/>
      <c r="BU143" s="45" t="n"/>
      <c r="BV143" s="113" t="n"/>
      <c r="BW143" s="114">
        <f>SUM(BR143,BT143,BV143)</f>
        <v/>
      </c>
      <c r="BX143" s="45" t="n"/>
      <c r="BY143" s="114">
        <f>BD143 - IF(BP143="Y", 0, BO143) - IF(BX143="Y", 0, BW143)</f>
        <v/>
      </c>
      <c r="CK143" s="73" t="n"/>
      <c r="CL143" s="73" t="n"/>
      <c r="CM143" s="73" t="n"/>
      <c r="CN143" s="73" t="n"/>
      <c r="CO143" s="73" t="n"/>
      <c r="CP143" s="73" t="n"/>
      <c r="CQ143" s="73" t="n"/>
      <c r="CR143" s="73" t="n"/>
      <c r="CS143" s="73" t="n"/>
    </row>
    <row r="144" ht="13.5" customHeight="1">
      <c r="B144" s="47">
        <f>$B$3</f>
        <v/>
      </c>
      <c r="C144" s="48">
        <f>$C$3</f>
        <v/>
      </c>
      <c r="D144" s="40">
        <f>IF(SUM(COUNTIF(H144, "*"), COUNTIF(L144, "*"), COUNTIF(P144, "*"), COUNTIF(T144, "*"), COUNTIF(X144, "*"), COUNTIF(AB144, "*"), COUNTIF(AF144, "*"), COUNTIF(AJ144, "*"), COUNTIF(AN144, "*"), COUNTIF(AR144, "*"), COUNTIF(AV144, "*"), COUNTIF(AZ144, "*"))&gt;0, "Y", "N")</f>
        <v/>
      </c>
      <c r="E144" s="49" t="n"/>
      <c r="F144" s="49" t="n"/>
      <c r="G144" s="59" t="n">
        <v>50131</v>
      </c>
      <c r="H144" s="83" t="n"/>
      <c r="I144" s="49" t="n"/>
      <c r="J144" s="50" t="n"/>
      <c r="K144" s="115" t="n"/>
      <c r="L144" s="83" t="n"/>
      <c r="M144" s="49" t="n"/>
      <c r="N144" s="49" t="n"/>
      <c r="O144" s="115" t="n"/>
      <c r="P144" s="83" t="n"/>
      <c r="Q144" s="49" t="n"/>
      <c r="R144" s="49" t="n"/>
      <c r="S144" s="115" t="n"/>
      <c r="T144" s="83" t="n"/>
      <c r="U144" s="49" t="n"/>
      <c r="V144" s="49" t="n"/>
      <c r="W144" s="116" t="n"/>
      <c r="X144" s="83" t="n"/>
      <c r="Y144" s="49" t="n"/>
      <c r="Z144" s="49" t="n"/>
      <c r="AA144" s="115" t="n"/>
      <c r="AB144" s="83" t="n"/>
      <c r="AC144" s="49" t="n"/>
      <c r="AD144" s="49" t="n"/>
      <c r="AE144" s="115" t="n"/>
      <c r="AF144" s="83" t="n"/>
      <c r="AG144" s="49" t="n"/>
      <c r="AH144" s="49" t="n"/>
      <c r="AI144" s="115" t="n"/>
      <c r="AJ144" s="83" t="n"/>
      <c r="AK144" s="49" t="n"/>
      <c r="AL144" s="49" t="n"/>
      <c r="AM144" s="115" t="n"/>
      <c r="AN144" s="83" t="n"/>
      <c r="AO144" s="49" t="n"/>
      <c r="AP144" s="49" t="n"/>
      <c r="AQ144" s="117" t="n"/>
      <c r="AR144" s="83" t="n"/>
      <c r="AS144" s="49" t="n"/>
      <c r="AT144" s="49" t="n"/>
      <c r="AU144" s="115" t="n"/>
      <c r="AV144" s="83" t="n"/>
      <c r="AW144" s="49" t="n"/>
      <c r="AX144" s="49" t="n"/>
      <c r="AY144" s="115" t="n"/>
      <c r="AZ144" s="83" t="n"/>
      <c r="BA144" s="49" t="n"/>
      <c r="BB144" s="49" t="n"/>
      <c r="BC144" s="115" t="n"/>
      <c r="BD144" s="110">
        <f>SUM(K144,O144,S144,W144,AA144,AE144,AI144,AM144,AQ144,AU144,AY144,BC144)</f>
        <v/>
      </c>
      <c r="BE144" s="45" t="n"/>
      <c r="BF144" s="113" t="n"/>
      <c r="BG144" s="45" t="n"/>
      <c r="BH144" s="113" t="n"/>
      <c r="BI144" s="45" t="n"/>
      <c r="BJ144" s="113" t="n"/>
      <c r="BK144" s="45" t="n"/>
      <c r="BL144" s="113" t="n"/>
      <c r="BM144" s="45" t="n"/>
      <c r="BN144" s="113" t="n"/>
      <c r="BO144" s="114">
        <f>SUM(BF144,BH144,BJ144,BL144,BN144)</f>
        <v/>
      </c>
      <c r="BP144" s="45" t="n"/>
      <c r="BQ144" s="45" t="n"/>
      <c r="BR144" s="113" t="n"/>
      <c r="BS144" s="45" t="n"/>
      <c r="BT144" s="113" t="n"/>
      <c r="BU144" s="45" t="n"/>
      <c r="BV144" s="113" t="n"/>
      <c r="BW144" s="114">
        <f>SUM(BR144,BT144,BV144)</f>
        <v/>
      </c>
      <c r="BX144" s="45" t="n"/>
      <c r="BY144" s="114">
        <f>BD144 - IF(BP144="Y", 0, BO144) - IF(BX144="Y", 0, BW144)</f>
        <v/>
      </c>
      <c r="CK144" s="73" t="n"/>
      <c r="CL144" s="73" t="n"/>
      <c r="CM144" s="73" t="n"/>
      <c r="CN144" s="73" t="n"/>
      <c r="CO144" s="73" t="n"/>
      <c r="CP144" s="73" t="n"/>
      <c r="CQ144" s="73" t="n"/>
      <c r="CR144" s="73" t="n"/>
      <c r="CS144" s="73" t="n"/>
    </row>
    <row r="145" ht="13.5" customHeight="1">
      <c r="B145" s="47">
        <f>$B$3</f>
        <v/>
      </c>
      <c r="C145" s="48">
        <f>$C$3</f>
        <v/>
      </c>
      <c r="D145" s="40">
        <f>IF(SUM(COUNTIF(H145, "*"), COUNTIF(L145, "*"), COUNTIF(P145, "*"), COUNTIF(T145, "*"), COUNTIF(X145, "*"), COUNTIF(AB145, "*"), COUNTIF(AF145, "*"), COUNTIF(AJ145, "*"), COUNTIF(AN145, "*"), COUNTIF(AR145, "*"), COUNTIF(AV145, "*"), COUNTIF(AZ145, "*"))&gt;0, "Y", "N")</f>
        <v/>
      </c>
      <c r="E145" s="49" t="n"/>
      <c r="F145" s="49" t="n"/>
      <c r="G145" s="59" t="n">
        <v>50161</v>
      </c>
      <c r="H145" s="83" t="n"/>
      <c r="I145" s="49" t="n"/>
      <c r="J145" s="50" t="n"/>
      <c r="K145" s="115" t="n"/>
      <c r="L145" s="83" t="n"/>
      <c r="M145" s="49" t="n"/>
      <c r="N145" s="49" t="n"/>
      <c r="O145" s="115" t="n"/>
      <c r="P145" s="83" t="n"/>
      <c r="Q145" s="49" t="n"/>
      <c r="R145" s="49" t="n"/>
      <c r="S145" s="115" t="n"/>
      <c r="T145" s="83" t="n"/>
      <c r="U145" s="49" t="n"/>
      <c r="V145" s="49" t="n"/>
      <c r="W145" s="116" t="n"/>
      <c r="X145" s="83" t="n"/>
      <c r="Y145" s="49" t="n"/>
      <c r="Z145" s="49" t="n"/>
      <c r="AA145" s="115" t="n"/>
      <c r="AB145" s="83" t="n"/>
      <c r="AC145" s="49" t="n"/>
      <c r="AD145" s="49" t="n"/>
      <c r="AE145" s="115" t="n"/>
      <c r="AF145" s="83" t="n"/>
      <c r="AG145" s="49" t="n"/>
      <c r="AH145" s="49" t="n"/>
      <c r="AI145" s="115" t="n"/>
      <c r="AJ145" s="83" t="n"/>
      <c r="AK145" s="49" t="n"/>
      <c r="AL145" s="49" t="n"/>
      <c r="AM145" s="115" t="n"/>
      <c r="AN145" s="83" t="n"/>
      <c r="AO145" s="49" t="n"/>
      <c r="AP145" s="49" t="n"/>
      <c r="AQ145" s="117" t="n"/>
      <c r="AR145" s="83" t="n"/>
      <c r="AS145" s="49" t="n"/>
      <c r="AT145" s="49" t="n"/>
      <c r="AU145" s="115" t="n"/>
      <c r="AV145" s="83" t="n"/>
      <c r="AW145" s="49" t="n"/>
      <c r="AX145" s="49" t="n"/>
      <c r="AY145" s="115" t="n"/>
      <c r="AZ145" s="83" t="n"/>
      <c r="BA145" s="49" t="n"/>
      <c r="BB145" s="49" t="n"/>
      <c r="BC145" s="115" t="n"/>
      <c r="BD145" s="110">
        <f>SUM(K145,O145,S145,W145,AA145,AE145,AI145,AM145,AQ145,AU145,AY145,BC145)</f>
        <v/>
      </c>
      <c r="BE145" s="45" t="n"/>
      <c r="BF145" s="113" t="n"/>
      <c r="BG145" s="45" t="n"/>
      <c r="BH145" s="113" t="n"/>
      <c r="BI145" s="45" t="n"/>
      <c r="BJ145" s="113" t="n"/>
      <c r="BK145" s="45" t="n"/>
      <c r="BL145" s="113" t="n"/>
      <c r="BM145" s="45" t="n"/>
      <c r="BN145" s="113" t="n"/>
      <c r="BO145" s="114">
        <f>SUM(BF145,BH145,BJ145,BL145,BN145)</f>
        <v/>
      </c>
      <c r="BP145" s="45" t="n"/>
      <c r="BQ145" s="45" t="n"/>
      <c r="BR145" s="113" t="n"/>
      <c r="BS145" s="45" t="n"/>
      <c r="BT145" s="113" t="n"/>
      <c r="BU145" s="45" t="n"/>
      <c r="BV145" s="113" t="n"/>
      <c r="BW145" s="114">
        <f>SUM(BR145,BT145,BV145)</f>
        <v/>
      </c>
      <c r="BX145" s="45" t="n"/>
      <c r="BY145" s="114">
        <f>BD145 - IF(BP145="Y", 0, BO145) - IF(BX145="Y", 0, BW145)</f>
        <v/>
      </c>
      <c r="CK145" s="73" t="n"/>
      <c r="CL145" s="73" t="n"/>
      <c r="CM145" s="73" t="n"/>
      <c r="CN145" s="73" t="n"/>
      <c r="CO145" s="73" t="n"/>
      <c r="CP145" s="73" t="n"/>
      <c r="CQ145" s="73" t="n"/>
      <c r="CR145" s="73" t="n"/>
      <c r="CS145" s="73" t="n"/>
    </row>
    <row r="146" ht="13.5" customHeight="1">
      <c r="B146" s="47">
        <f>$B$3</f>
        <v/>
      </c>
      <c r="C146" s="48">
        <f>$C$3</f>
        <v/>
      </c>
      <c r="D146" s="40">
        <f>IF(SUM(COUNTIF(H146, "*"), COUNTIF(L146, "*"), COUNTIF(P146, "*"), COUNTIF(T146, "*"), COUNTIF(X146, "*"), COUNTIF(AB146, "*"), COUNTIF(AF146, "*"), COUNTIF(AJ146, "*"), COUNTIF(AN146, "*"), COUNTIF(AR146, "*"), COUNTIF(AV146, "*"), COUNTIF(AZ146, "*"))&gt;0, "Y", "N")</f>
        <v/>
      </c>
      <c r="E146" s="49" t="n"/>
      <c r="F146" s="49" t="n"/>
      <c r="G146" s="59" t="n">
        <v>50192</v>
      </c>
      <c r="H146" s="83" t="n"/>
      <c r="I146" s="49" t="n"/>
      <c r="J146" s="50" t="n"/>
      <c r="K146" s="115" t="n"/>
      <c r="L146" s="83" t="n"/>
      <c r="M146" s="49" t="n"/>
      <c r="N146" s="49" t="n"/>
      <c r="O146" s="115" t="n"/>
      <c r="P146" s="83" t="n"/>
      <c r="Q146" s="49" t="n"/>
      <c r="R146" s="49" t="n"/>
      <c r="S146" s="115" t="n"/>
      <c r="T146" s="83" t="n"/>
      <c r="U146" s="49" t="n"/>
      <c r="V146" s="49" t="n"/>
      <c r="W146" s="116" t="n"/>
      <c r="X146" s="83" t="n"/>
      <c r="Y146" s="49" t="n"/>
      <c r="Z146" s="49" t="n"/>
      <c r="AA146" s="115" t="n"/>
      <c r="AB146" s="83" t="n"/>
      <c r="AC146" s="49" t="n"/>
      <c r="AD146" s="49" t="n"/>
      <c r="AE146" s="115" t="n"/>
      <c r="AF146" s="83" t="n"/>
      <c r="AG146" s="49" t="n"/>
      <c r="AH146" s="49" t="n"/>
      <c r="AI146" s="115" t="n"/>
      <c r="AJ146" s="83" t="n"/>
      <c r="AK146" s="49" t="n"/>
      <c r="AL146" s="49" t="n"/>
      <c r="AM146" s="115" t="n"/>
      <c r="AN146" s="83" t="n"/>
      <c r="AO146" s="49" t="n"/>
      <c r="AP146" s="49" t="n"/>
      <c r="AQ146" s="117" t="n"/>
      <c r="AR146" s="83" t="n"/>
      <c r="AS146" s="49" t="n"/>
      <c r="AT146" s="49" t="n"/>
      <c r="AU146" s="115" t="n"/>
      <c r="AV146" s="83" t="n"/>
      <c r="AW146" s="49" t="n"/>
      <c r="AX146" s="49" t="n"/>
      <c r="AY146" s="115" t="n"/>
      <c r="AZ146" s="83" t="n"/>
      <c r="BA146" s="49" t="n"/>
      <c r="BB146" s="49" t="n"/>
      <c r="BC146" s="115" t="n"/>
      <c r="BD146" s="110">
        <f>SUM(K146,O146,S146,W146,AA146,AE146,AI146,AM146,AQ146,AU146,AY146,BC146)</f>
        <v/>
      </c>
      <c r="BE146" s="45" t="n"/>
      <c r="BF146" s="113" t="n"/>
      <c r="BG146" s="45" t="n"/>
      <c r="BH146" s="113" t="n"/>
      <c r="BI146" s="45" t="n"/>
      <c r="BJ146" s="113" t="n"/>
      <c r="BK146" s="45" t="n"/>
      <c r="BL146" s="113" t="n"/>
      <c r="BM146" s="45" t="n"/>
      <c r="BN146" s="113" t="n"/>
      <c r="BO146" s="114">
        <f>SUM(BF146,BH146,BJ146,BL146,BN146)</f>
        <v/>
      </c>
      <c r="BP146" s="45" t="n"/>
      <c r="BQ146" s="45" t="n"/>
      <c r="BR146" s="113" t="n"/>
      <c r="BS146" s="45" t="n"/>
      <c r="BT146" s="113" t="n"/>
      <c r="BU146" s="45" t="n"/>
      <c r="BV146" s="113" t="n"/>
      <c r="BW146" s="114">
        <f>SUM(BR146,BT146,BV146)</f>
        <v/>
      </c>
      <c r="BX146" s="45" t="n"/>
      <c r="BY146" s="114">
        <f>BD146 - IF(BP146="Y", 0, BO146) - IF(BX146="Y", 0, BW146)</f>
        <v/>
      </c>
      <c r="CK146" s="73" t="n"/>
      <c r="CL146" s="73" t="n"/>
      <c r="CM146" s="73" t="n"/>
      <c r="CN146" s="73" t="n"/>
      <c r="CO146" s="73" t="n"/>
      <c r="CP146" s="73" t="n"/>
      <c r="CQ146" s="73" t="n"/>
      <c r="CR146" s="73" t="n"/>
      <c r="CS146" s="73" t="n"/>
    </row>
    <row r="147" ht="13.5" customHeight="1">
      <c r="B147" s="47">
        <f>$B$3</f>
        <v/>
      </c>
      <c r="C147" s="48">
        <f>$C$3</f>
        <v/>
      </c>
      <c r="D147" s="40">
        <f>IF(SUM(COUNTIF(H147, "*"), COUNTIF(L147, "*"), COUNTIF(P147, "*"), COUNTIF(T147, "*"), COUNTIF(X147, "*"), COUNTIF(AB147, "*"), COUNTIF(AF147, "*"), COUNTIF(AJ147, "*"), COUNTIF(AN147, "*"), COUNTIF(AR147, "*"), COUNTIF(AV147, "*"), COUNTIF(AZ147, "*"))&gt;0, "Y", "N")</f>
        <v/>
      </c>
      <c r="E147" s="49" t="n"/>
      <c r="F147" s="49" t="n"/>
      <c r="G147" s="59" t="n">
        <v>50222</v>
      </c>
      <c r="H147" s="83" t="n"/>
      <c r="I147" s="49" t="n"/>
      <c r="J147" s="50" t="n"/>
      <c r="K147" s="115" t="n"/>
      <c r="L147" s="83" t="n"/>
      <c r="M147" s="49" t="n"/>
      <c r="N147" s="49" t="n"/>
      <c r="O147" s="115" t="n"/>
      <c r="P147" s="83" t="n"/>
      <c r="Q147" s="49" t="n"/>
      <c r="R147" s="49" t="n"/>
      <c r="S147" s="115" t="n"/>
      <c r="T147" s="83" t="n"/>
      <c r="U147" s="49" t="n"/>
      <c r="V147" s="49" t="n"/>
      <c r="W147" s="116" t="n"/>
      <c r="X147" s="83" t="n"/>
      <c r="Y147" s="49" t="n"/>
      <c r="Z147" s="49" t="n"/>
      <c r="AA147" s="115" t="n"/>
      <c r="AB147" s="83" t="n"/>
      <c r="AC147" s="49" t="n"/>
      <c r="AD147" s="49" t="n"/>
      <c r="AE147" s="115" t="n"/>
      <c r="AF147" s="83" t="n"/>
      <c r="AG147" s="49" t="n"/>
      <c r="AH147" s="49" t="n"/>
      <c r="AI147" s="115" t="n"/>
      <c r="AJ147" s="83" t="n"/>
      <c r="AK147" s="49" t="n"/>
      <c r="AL147" s="49" t="n"/>
      <c r="AM147" s="115" t="n"/>
      <c r="AN147" s="83" t="n"/>
      <c r="AO147" s="49" t="n"/>
      <c r="AP147" s="49" t="n"/>
      <c r="AQ147" s="117" t="n"/>
      <c r="AR147" s="83" t="n"/>
      <c r="AS147" s="49" t="n"/>
      <c r="AT147" s="49" t="n"/>
      <c r="AU147" s="115" t="n"/>
      <c r="AV147" s="83" t="n"/>
      <c r="AW147" s="49" t="n"/>
      <c r="AX147" s="49" t="n"/>
      <c r="AY147" s="115" t="n"/>
      <c r="AZ147" s="83" t="n"/>
      <c r="BA147" s="49" t="n"/>
      <c r="BB147" s="49" t="n"/>
      <c r="BC147" s="115" t="n"/>
      <c r="BD147" s="110">
        <f>SUM(K147,O147,S147,W147,AA147,AE147,AI147,AM147,AQ147,AU147,AY147,BC147)</f>
        <v/>
      </c>
      <c r="BE147" s="45" t="n"/>
      <c r="BF147" s="113" t="n"/>
      <c r="BG147" s="45" t="n"/>
      <c r="BH147" s="113" t="n"/>
      <c r="BI147" s="45" t="n"/>
      <c r="BJ147" s="113" t="n"/>
      <c r="BK147" s="45" t="n"/>
      <c r="BL147" s="113" t="n"/>
      <c r="BM147" s="45" t="n"/>
      <c r="BN147" s="113" t="n"/>
      <c r="BO147" s="114">
        <f>SUM(BF147,BH147,BJ147,BL147,BN147)</f>
        <v/>
      </c>
      <c r="BP147" s="45" t="n"/>
      <c r="BQ147" s="45" t="n"/>
      <c r="BR147" s="113" t="n"/>
      <c r="BS147" s="45" t="n"/>
      <c r="BT147" s="113" t="n"/>
      <c r="BU147" s="45" t="n"/>
      <c r="BV147" s="113" t="n"/>
      <c r="BW147" s="114">
        <f>SUM(BR147,BT147,BV147)</f>
        <v/>
      </c>
      <c r="BX147" s="45" t="n"/>
      <c r="BY147" s="114">
        <f>BD147 - IF(BP147="Y", 0, BO147) - IF(BX147="Y", 0, BW147)</f>
        <v/>
      </c>
      <c r="CK147" s="73" t="n"/>
      <c r="CL147" s="73" t="n"/>
      <c r="CM147" s="73" t="n"/>
      <c r="CN147" s="73" t="n"/>
      <c r="CO147" s="73" t="n"/>
      <c r="CP147" s="73" t="n"/>
      <c r="CQ147" s="73" t="n"/>
      <c r="CR147" s="73" t="n"/>
      <c r="CS147" s="73" t="n"/>
    </row>
    <row r="148" ht="13.5" customHeight="1">
      <c r="B148" s="47">
        <f>$B$3</f>
        <v/>
      </c>
      <c r="C148" s="48">
        <f>$C$3</f>
        <v/>
      </c>
      <c r="D148" s="40">
        <f>IF(SUM(COUNTIF(H148, "*"), COUNTIF(L148, "*"), COUNTIF(P148, "*"), COUNTIF(T148, "*"), COUNTIF(X148, "*"), COUNTIF(AB148, "*"), COUNTIF(AF148, "*"), COUNTIF(AJ148, "*"), COUNTIF(AN148, "*"), COUNTIF(AR148, "*"), COUNTIF(AV148, "*"), COUNTIF(AZ148, "*"))&gt;0, "Y", "N")</f>
        <v/>
      </c>
      <c r="E148" s="49" t="n"/>
      <c r="F148" s="49" t="n"/>
      <c r="G148" s="59" t="n">
        <v>50253</v>
      </c>
      <c r="H148" s="83" t="n"/>
      <c r="I148" s="49" t="n"/>
      <c r="J148" s="50" t="n"/>
      <c r="K148" s="115" t="n"/>
      <c r="L148" s="83" t="n"/>
      <c r="M148" s="49" t="n"/>
      <c r="N148" s="49" t="n"/>
      <c r="O148" s="115" t="n"/>
      <c r="P148" s="83" t="n"/>
      <c r="Q148" s="49" t="n"/>
      <c r="R148" s="49" t="n"/>
      <c r="S148" s="115" t="n"/>
      <c r="T148" s="83" t="n"/>
      <c r="U148" s="49" t="n"/>
      <c r="V148" s="49" t="n"/>
      <c r="W148" s="116" t="n"/>
      <c r="X148" s="83" t="n"/>
      <c r="Y148" s="49" t="n"/>
      <c r="Z148" s="49" t="n"/>
      <c r="AA148" s="115" t="n"/>
      <c r="AB148" s="83" t="n"/>
      <c r="AC148" s="49" t="n"/>
      <c r="AD148" s="49" t="n"/>
      <c r="AE148" s="115" t="n"/>
      <c r="AF148" s="83" t="n"/>
      <c r="AG148" s="49" t="n"/>
      <c r="AH148" s="49" t="n"/>
      <c r="AI148" s="115" t="n"/>
      <c r="AJ148" s="83" t="n"/>
      <c r="AK148" s="49" t="n"/>
      <c r="AL148" s="49" t="n"/>
      <c r="AM148" s="115" t="n"/>
      <c r="AN148" s="83" t="n"/>
      <c r="AO148" s="49" t="n"/>
      <c r="AP148" s="49" t="n"/>
      <c r="AQ148" s="117" t="n"/>
      <c r="AR148" s="83" t="n"/>
      <c r="AS148" s="49" t="n"/>
      <c r="AT148" s="49" t="n"/>
      <c r="AU148" s="115" t="n"/>
      <c r="AV148" s="83" t="n"/>
      <c r="AW148" s="49" t="n"/>
      <c r="AX148" s="49" t="n"/>
      <c r="AY148" s="115" t="n"/>
      <c r="AZ148" s="83" t="n"/>
      <c r="BA148" s="49" t="n"/>
      <c r="BB148" s="49" t="n"/>
      <c r="BC148" s="115" t="n"/>
      <c r="BD148" s="110">
        <f>SUM(K148,O148,S148,W148,AA148,AE148,AI148,AM148,AQ148,AU148,AY148,BC148)</f>
        <v/>
      </c>
      <c r="BE148" s="45" t="n"/>
      <c r="BF148" s="113" t="n"/>
      <c r="BG148" s="45" t="n"/>
      <c r="BH148" s="113" t="n"/>
      <c r="BI148" s="45" t="n"/>
      <c r="BJ148" s="113" t="n"/>
      <c r="BK148" s="45" t="n"/>
      <c r="BL148" s="113" t="n"/>
      <c r="BM148" s="45" t="n"/>
      <c r="BN148" s="113" t="n"/>
      <c r="BO148" s="114">
        <f>SUM(BF148,BH148,BJ148,BL148,BN148)</f>
        <v/>
      </c>
      <c r="BP148" s="45" t="n"/>
      <c r="BQ148" s="45" t="n"/>
      <c r="BR148" s="113" t="n"/>
      <c r="BS148" s="45" t="n"/>
      <c r="BT148" s="113" t="n"/>
      <c r="BU148" s="45" t="n"/>
      <c r="BV148" s="113" t="n"/>
      <c r="BW148" s="114">
        <f>SUM(BR148,BT148,BV148)</f>
        <v/>
      </c>
      <c r="BX148" s="45" t="n"/>
      <c r="BY148" s="114">
        <f>BD148 - IF(BP148="Y", 0, BO148) - IF(BX148="Y", 0, BW148)</f>
        <v/>
      </c>
      <c r="CK148" s="73" t="n"/>
      <c r="CL148" s="73" t="n"/>
      <c r="CM148" s="73" t="n"/>
      <c r="CN148" s="73" t="n"/>
      <c r="CO148" s="73" t="n"/>
      <c r="CP148" s="73" t="n"/>
      <c r="CQ148" s="73" t="n"/>
      <c r="CR148" s="73" t="n"/>
      <c r="CS148" s="73" t="n"/>
    </row>
    <row r="149" ht="13.5" customHeight="1">
      <c r="B149" s="47">
        <f>$B$3</f>
        <v/>
      </c>
      <c r="C149" s="48">
        <f>$C$3</f>
        <v/>
      </c>
      <c r="D149" s="40">
        <f>IF(SUM(COUNTIF(H149, "*"), COUNTIF(L149, "*"), COUNTIF(P149, "*"), COUNTIF(T149, "*"), COUNTIF(X149, "*"), COUNTIF(AB149, "*"), COUNTIF(AF149, "*"), COUNTIF(AJ149, "*"), COUNTIF(AN149, "*"), COUNTIF(AR149, "*"), COUNTIF(AV149, "*"), COUNTIF(AZ149, "*"))&gt;0, "Y", "N")</f>
        <v/>
      </c>
      <c r="E149" s="49" t="n"/>
      <c r="F149" s="49" t="n"/>
      <c r="G149" s="59" t="n">
        <v>50284</v>
      </c>
      <c r="H149" s="83" t="n"/>
      <c r="I149" s="49" t="n"/>
      <c r="J149" s="50" t="n"/>
      <c r="K149" s="115" t="n"/>
      <c r="L149" s="83" t="n"/>
      <c r="M149" s="49" t="n"/>
      <c r="N149" s="49" t="n"/>
      <c r="O149" s="115" t="n"/>
      <c r="P149" s="83" t="n"/>
      <c r="Q149" s="49" t="n"/>
      <c r="R149" s="49" t="n"/>
      <c r="S149" s="115" t="n"/>
      <c r="T149" s="83" t="n"/>
      <c r="U149" s="49" t="n"/>
      <c r="V149" s="49" t="n"/>
      <c r="W149" s="116" t="n"/>
      <c r="X149" s="83" t="n"/>
      <c r="Y149" s="49" t="n"/>
      <c r="Z149" s="49" t="n"/>
      <c r="AA149" s="115" t="n"/>
      <c r="AB149" s="83" t="n"/>
      <c r="AC149" s="49" t="n"/>
      <c r="AD149" s="49" t="n"/>
      <c r="AE149" s="115" t="n"/>
      <c r="AF149" s="83" t="n"/>
      <c r="AG149" s="49" t="n"/>
      <c r="AH149" s="49" t="n"/>
      <c r="AI149" s="115" t="n"/>
      <c r="AJ149" s="83" t="n"/>
      <c r="AK149" s="49" t="n"/>
      <c r="AL149" s="49" t="n"/>
      <c r="AM149" s="115" t="n"/>
      <c r="AN149" s="83" t="n"/>
      <c r="AO149" s="49" t="n"/>
      <c r="AP149" s="49" t="n"/>
      <c r="AQ149" s="117" t="n"/>
      <c r="AR149" s="83" t="n"/>
      <c r="AS149" s="49" t="n"/>
      <c r="AT149" s="49" t="n"/>
      <c r="AU149" s="115" t="n"/>
      <c r="AV149" s="83" t="n"/>
      <c r="AW149" s="49" t="n"/>
      <c r="AX149" s="49" t="n"/>
      <c r="AY149" s="115" t="n"/>
      <c r="AZ149" s="83" t="n"/>
      <c r="BA149" s="49" t="n"/>
      <c r="BB149" s="49" t="n"/>
      <c r="BC149" s="115" t="n"/>
      <c r="BD149" s="110">
        <f>SUM(K149,O149,S149,W149,AA149,AE149,AI149,AM149,AQ149,AU149,AY149,BC149)</f>
        <v/>
      </c>
      <c r="BE149" s="45" t="n"/>
      <c r="BF149" s="113" t="n"/>
      <c r="BG149" s="45" t="n"/>
      <c r="BH149" s="113" t="n"/>
      <c r="BI149" s="45" t="n"/>
      <c r="BJ149" s="113" t="n"/>
      <c r="BK149" s="45" t="n"/>
      <c r="BL149" s="113" t="n"/>
      <c r="BM149" s="45" t="n"/>
      <c r="BN149" s="113" t="n"/>
      <c r="BO149" s="114">
        <f>SUM(BF149,BH149,BJ149,BL149,BN149)</f>
        <v/>
      </c>
      <c r="BP149" s="45" t="n"/>
      <c r="BQ149" s="45" t="n"/>
      <c r="BR149" s="113" t="n"/>
      <c r="BS149" s="45" t="n"/>
      <c r="BT149" s="113" t="n"/>
      <c r="BU149" s="45" t="n"/>
      <c r="BV149" s="113" t="n"/>
      <c r="BW149" s="114">
        <f>SUM(BR149,BT149,BV149)</f>
        <v/>
      </c>
      <c r="BX149" s="45" t="n"/>
      <c r="BY149" s="114">
        <f>BD149 - IF(BP149="Y", 0, BO149) - IF(BX149="Y", 0, BW149)</f>
        <v/>
      </c>
      <c r="CK149" s="73" t="n"/>
      <c r="CL149" s="73" t="n"/>
      <c r="CM149" s="73" t="n"/>
      <c r="CN149" s="73" t="n"/>
      <c r="CO149" s="73" t="n"/>
      <c r="CP149" s="73" t="n"/>
      <c r="CQ149" s="73" t="n"/>
      <c r="CR149" s="73" t="n"/>
      <c r="CS149" s="73" t="n"/>
    </row>
    <row r="150" ht="13.5" customHeight="1">
      <c r="B150" s="47">
        <f>$B$3</f>
        <v/>
      </c>
      <c r="C150" s="48">
        <f>$C$3</f>
        <v/>
      </c>
      <c r="D150" s="40">
        <f>IF(SUM(COUNTIF(H150, "*"), COUNTIF(L150, "*"), COUNTIF(P150, "*"), COUNTIF(T150, "*"), COUNTIF(X150, "*"), COUNTIF(AB150, "*"), COUNTIF(AF150, "*"), COUNTIF(AJ150, "*"), COUNTIF(AN150, "*"), COUNTIF(AR150, "*"), COUNTIF(AV150, "*"), COUNTIF(AZ150, "*"))&gt;0, "Y", "N")</f>
        <v/>
      </c>
      <c r="E150" s="49" t="n"/>
      <c r="F150" s="49" t="n"/>
      <c r="G150" s="59" t="n">
        <v>50314</v>
      </c>
      <c r="H150" s="83" t="n"/>
      <c r="I150" s="49" t="n"/>
      <c r="J150" s="50" t="n"/>
      <c r="K150" s="115" t="n"/>
      <c r="L150" s="83" t="n"/>
      <c r="M150" s="49" t="n"/>
      <c r="N150" s="49" t="n"/>
      <c r="O150" s="115" t="n"/>
      <c r="P150" s="83" t="n"/>
      <c r="Q150" s="49" t="n"/>
      <c r="R150" s="49" t="n"/>
      <c r="S150" s="115" t="n"/>
      <c r="T150" s="83" t="n"/>
      <c r="U150" s="49" t="n"/>
      <c r="V150" s="49" t="n"/>
      <c r="W150" s="116" t="n"/>
      <c r="X150" s="83" t="n"/>
      <c r="Y150" s="49" t="n"/>
      <c r="Z150" s="49" t="n"/>
      <c r="AA150" s="115" t="n"/>
      <c r="AB150" s="83" t="n"/>
      <c r="AC150" s="49" t="n"/>
      <c r="AD150" s="49" t="n"/>
      <c r="AE150" s="115" t="n"/>
      <c r="AF150" s="83" t="n"/>
      <c r="AG150" s="49" t="n"/>
      <c r="AH150" s="49" t="n"/>
      <c r="AI150" s="115" t="n"/>
      <c r="AJ150" s="83" t="n"/>
      <c r="AK150" s="49" t="n"/>
      <c r="AL150" s="49" t="n"/>
      <c r="AM150" s="115" t="n"/>
      <c r="AN150" s="83" t="n"/>
      <c r="AO150" s="49" t="n"/>
      <c r="AP150" s="49" t="n"/>
      <c r="AQ150" s="117" t="n"/>
      <c r="AR150" s="83" t="n"/>
      <c r="AS150" s="49" t="n"/>
      <c r="AT150" s="49" t="n"/>
      <c r="AU150" s="115" t="n"/>
      <c r="AV150" s="83" t="n"/>
      <c r="AW150" s="49" t="n"/>
      <c r="AX150" s="49" t="n"/>
      <c r="AY150" s="115" t="n"/>
      <c r="AZ150" s="83" t="n"/>
      <c r="BA150" s="49" t="n"/>
      <c r="BB150" s="49" t="n"/>
      <c r="BC150" s="115" t="n"/>
      <c r="BD150" s="110">
        <f>SUM(K150,O150,S150,W150,AA150,AE150,AI150,AM150,AQ150,AU150,AY150,BC150)</f>
        <v/>
      </c>
      <c r="BE150" s="45" t="n"/>
      <c r="BF150" s="113" t="n"/>
      <c r="BG150" s="45" t="n"/>
      <c r="BH150" s="113" t="n"/>
      <c r="BI150" s="45" t="n"/>
      <c r="BJ150" s="113" t="n"/>
      <c r="BK150" s="45" t="n"/>
      <c r="BL150" s="113" t="n"/>
      <c r="BM150" s="45" t="n"/>
      <c r="BN150" s="113" t="n"/>
      <c r="BO150" s="114">
        <f>SUM(BF150,BH150,BJ150,BL150,BN150)</f>
        <v/>
      </c>
      <c r="BP150" s="45" t="n"/>
      <c r="BQ150" s="45" t="n"/>
      <c r="BR150" s="113" t="n"/>
      <c r="BS150" s="45" t="n"/>
      <c r="BT150" s="113" t="n"/>
      <c r="BU150" s="45" t="n"/>
      <c r="BV150" s="113" t="n"/>
      <c r="BW150" s="114">
        <f>SUM(BR150,BT150,BV150)</f>
        <v/>
      </c>
      <c r="BX150" s="45" t="n"/>
      <c r="BY150" s="114">
        <f>BD150 - IF(BP150="Y", 0, BO150) - IF(BX150="Y", 0, BW150)</f>
        <v/>
      </c>
      <c r="CK150" s="73" t="n"/>
      <c r="CL150" s="73" t="n"/>
      <c r="CM150" s="73" t="n"/>
      <c r="CN150" s="73" t="n"/>
      <c r="CO150" s="73" t="n"/>
      <c r="CP150" s="73" t="n"/>
      <c r="CQ150" s="73" t="n"/>
      <c r="CR150" s="73" t="n"/>
      <c r="CS150" s="73" t="n"/>
    </row>
    <row r="151" ht="13.5" customHeight="1">
      <c r="B151" s="47">
        <f>$B$3</f>
        <v/>
      </c>
      <c r="C151" s="48">
        <f>$C$3</f>
        <v/>
      </c>
      <c r="D151" s="40">
        <f>IF(SUM(COUNTIF(H151, "*"), COUNTIF(L151, "*"), COUNTIF(P151, "*"), COUNTIF(T151, "*"), COUNTIF(X151, "*"), COUNTIF(AB151, "*"), COUNTIF(AF151, "*"), COUNTIF(AJ151, "*"), COUNTIF(AN151, "*"), COUNTIF(AR151, "*"), COUNTIF(AV151, "*"), COUNTIF(AZ151, "*"))&gt;0, "Y", "N")</f>
        <v/>
      </c>
      <c r="E151" s="49" t="n"/>
      <c r="F151" s="49" t="n"/>
      <c r="G151" s="59" t="n">
        <v>50345</v>
      </c>
      <c r="H151" s="83" t="n"/>
      <c r="I151" s="49" t="n"/>
      <c r="J151" s="50" t="n"/>
      <c r="K151" s="115" t="n"/>
      <c r="L151" s="83" t="n"/>
      <c r="M151" s="49" t="n"/>
      <c r="N151" s="49" t="n"/>
      <c r="O151" s="115" t="n"/>
      <c r="P151" s="83" t="n"/>
      <c r="Q151" s="49" t="n"/>
      <c r="R151" s="49" t="n"/>
      <c r="S151" s="115" t="n"/>
      <c r="T151" s="83" t="n"/>
      <c r="U151" s="49" t="n"/>
      <c r="V151" s="49" t="n"/>
      <c r="W151" s="116" t="n"/>
      <c r="X151" s="83" t="n"/>
      <c r="Y151" s="49" t="n"/>
      <c r="Z151" s="49" t="n"/>
      <c r="AA151" s="115" t="n"/>
      <c r="AB151" s="83" t="n"/>
      <c r="AC151" s="49" t="n"/>
      <c r="AD151" s="49" t="n"/>
      <c r="AE151" s="115" t="n"/>
      <c r="AF151" s="83" t="n"/>
      <c r="AG151" s="49" t="n"/>
      <c r="AH151" s="49" t="n"/>
      <c r="AI151" s="115" t="n"/>
      <c r="AJ151" s="83" t="n"/>
      <c r="AK151" s="49" t="n"/>
      <c r="AL151" s="49" t="n"/>
      <c r="AM151" s="115" t="n"/>
      <c r="AN151" s="83" t="n"/>
      <c r="AO151" s="49" t="n"/>
      <c r="AP151" s="49" t="n"/>
      <c r="AQ151" s="117" t="n"/>
      <c r="AR151" s="83" t="n"/>
      <c r="AS151" s="49" t="n"/>
      <c r="AT151" s="49" t="n"/>
      <c r="AU151" s="115" t="n"/>
      <c r="AV151" s="83" t="n"/>
      <c r="AW151" s="49" t="n"/>
      <c r="AX151" s="49" t="n"/>
      <c r="AY151" s="115" t="n"/>
      <c r="AZ151" s="83" t="n"/>
      <c r="BA151" s="49" t="n"/>
      <c r="BB151" s="49" t="n"/>
      <c r="BC151" s="115" t="n"/>
      <c r="BD151" s="110">
        <f>SUM(K151,O151,S151,W151,AA151,AE151,AI151,AM151,AQ151,AU151,AY151,BC151)</f>
        <v/>
      </c>
      <c r="BE151" s="45" t="n"/>
      <c r="BF151" s="113" t="n"/>
      <c r="BG151" s="45" t="n"/>
      <c r="BH151" s="113" t="n"/>
      <c r="BI151" s="45" t="n"/>
      <c r="BJ151" s="113" t="n"/>
      <c r="BK151" s="45" t="n"/>
      <c r="BL151" s="113" t="n"/>
      <c r="BM151" s="45" t="n"/>
      <c r="BN151" s="113" t="n"/>
      <c r="BO151" s="114">
        <f>SUM(BF151,BH151,BJ151,BL151,BN151)</f>
        <v/>
      </c>
      <c r="BP151" s="45" t="n"/>
      <c r="BQ151" s="45" t="n"/>
      <c r="BR151" s="113" t="n"/>
      <c r="BS151" s="45" t="n"/>
      <c r="BT151" s="113" t="n"/>
      <c r="BU151" s="45" t="n"/>
      <c r="BV151" s="113" t="n"/>
      <c r="BW151" s="114">
        <f>SUM(BR151,BT151,BV151)</f>
        <v/>
      </c>
      <c r="BX151" s="45" t="n"/>
      <c r="BY151" s="114">
        <f>BD151 - IF(BP151="Y", 0, BO151) - IF(BX151="Y", 0, BW151)</f>
        <v/>
      </c>
      <c r="CK151" s="73" t="n"/>
      <c r="CL151" s="73" t="n"/>
      <c r="CM151" s="73" t="n"/>
      <c r="CN151" s="73" t="n"/>
      <c r="CO151" s="73" t="n"/>
      <c r="CP151" s="73" t="n"/>
      <c r="CQ151" s="73" t="n"/>
      <c r="CR151" s="73" t="n"/>
      <c r="CS151" s="73" t="n"/>
    </row>
    <row r="152" ht="13.5" customHeight="1">
      <c r="B152" s="51">
        <f>$B$3</f>
        <v/>
      </c>
      <c r="C152" s="52">
        <f>$C$3</f>
        <v/>
      </c>
      <c r="D152" s="40">
        <f>IF(SUM(COUNTIF(H152, "*"), COUNTIF(L152, "*"), COUNTIF(P152, "*"), COUNTIF(T152, "*"), COUNTIF(X152, "*"), COUNTIF(AB152, "*"), COUNTIF(AF152, "*"), COUNTIF(AJ152, "*"), COUNTIF(AN152, "*"), COUNTIF(AR152, "*"), COUNTIF(AV152, "*"), COUNTIF(AZ152, "*"))&gt;0, "Y", "N")</f>
        <v/>
      </c>
      <c r="E152" s="15" t="n"/>
      <c r="F152" s="15" t="n"/>
      <c r="G152" s="60" t="n">
        <v>50375</v>
      </c>
      <c r="H152" s="85" t="n"/>
      <c r="I152" s="15" t="n"/>
      <c r="J152" s="53" t="n"/>
      <c r="K152" s="118" t="n"/>
      <c r="L152" s="85" t="n"/>
      <c r="M152" s="15" t="n"/>
      <c r="N152" s="15" t="n"/>
      <c r="O152" s="118" t="n"/>
      <c r="P152" s="85" t="n"/>
      <c r="Q152" s="15" t="n"/>
      <c r="R152" s="15" t="n"/>
      <c r="S152" s="118" t="n"/>
      <c r="T152" s="83" t="n"/>
      <c r="U152" s="49" t="n"/>
      <c r="V152" s="49" t="n"/>
      <c r="W152" s="119" t="n"/>
      <c r="X152" s="85" t="n"/>
      <c r="Y152" s="15" t="n"/>
      <c r="Z152" s="15" t="n"/>
      <c r="AA152" s="118" t="n"/>
      <c r="AB152" s="85" t="n"/>
      <c r="AC152" s="15" t="n"/>
      <c r="AD152" s="15" t="n"/>
      <c r="AE152" s="118" t="n"/>
      <c r="AF152" s="85" t="n"/>
      <c r="AG152" s="15" t="n"/>
      <c r="AH152" s="15" t="n"/>
      <c r="AI152" s="118" t="n"/>
      <c r="AJ152" s="85" t="n"/>
      <c r="AK152" s="15" t="n"/>
      <c r="AL152" s="15" t="n"/>
      <c r="AM152" s="118" t="n"/>
      <c r="AN152" s="83" t="n"/>
      <c r="AO152" s="49" t="n"/>
      <c r="AP152" s="49" t="n"/>
      <c r="AQ152" s="120" t="n"/>
      <c r="AR152" s="85" t="n"/>
      <c r="AS152" s="15" t="n"/>
      <c r="AT152" s="15" t="n"/>
      <c r="AU152" s="118" t="n"/>
      <c r="AV152" s="85" t="n"/>
      <c r="AW152" s="15" t="n"/>
      <c r="AX152" s="15" t="n"/>
      <c r="AY152" s="118" t="n"/>
      <c r="AZ152" s="85" t="n"/>
      <c r="BA152" s="15" t="n"/>
      <c r="BB152" s="15" t="n"/>
      <c r="BC152" s="118" t="n"/>
      <c r="BD152" s="110">
        <f>SUM(K152,O152,S152,W152,AA152,AE152,AI152,AM152,AQ152,AU152,AY152,BC152)</f>
        <v/>
      </c>
      <c r="BE152" s="20" t="n"/>
      <c r="BF152" s="121" t="n"/>
      <c r="BG152" s="20" t="n"/>
      <c r="BH152" s="121" t="n"/>
      <c r="BI152" s="20" t="n"/>
      <c r="BJ152" s="121" t="n"/>
      <c r="BK152" s="20" t="n"/>
      <c r="BL152" s="121" t="n"/>
      <c r="BM152" s="20" t="n"/>
      <c r="BN152" s="121" t="n"/>
      <c r="BO152" s="100">
        <f>SUM(BF152,BH152,BJ152,BL152,BN152)</f>
        <v/>
      </c>
      <c r="BP152" s="20" t="n"/>
      <c r="BQ152" s="20" t="n"/>
      <c r="BR152" s="113" t="n"/>
      <c r="BS152" s="45" t="n"/>
      <c r="BT152" s="113" t="n"/>
      <c r="BU152" s="45" t="n"/>
      <c r="BV152" s="113" t="n"/>
      <c r="BW152" s="114">
        <f>SUM(BR152,BT152,BV152)</f>
        <v/>
      </c>
      <c r="BX152" s="45" t="n"/>
      <c r="BY152" s="114">
        <f>BD152 - IF(BP152="Y", 0, BO152) - IF(BX152="Y", 0, BW152)</f>
        <v/>
      </c>
      <c r="CK152" s="73" t="n"/>
      <c r="CL152" s="73" t="n"/>
      <c r="CM152" s="73" t="n"/>
      <c r="CN152" s="73" t="n"/>
      <c r="CO152" s="73" t="n"/>
      <c r="CP152" s="73" t="n"/>
      <c r="CQ152" s="73" t="n"/>
      <c r="CR152" s="73" t="n"/>
      <c r="CS152" s="73" t="n"/>
    </row>
  </sheetData>
  <conditionalFormatting sqref="B3:E3 O3:W3">
    <cfRule type="containsBlanks" priority="4" dxfId="110">
      <formula>LEN(TRIM(B3))=0</formula>
    </cfRule>
  </conditionalFormatting>
  <conditionalFormatting sqref="E9:G152 I9:K152 M9:O152 Q9:S152 U9:W152 Y9:AA152 AC9:AE152 AG9:AI152 AK9:AM152 AO9:AQ152 AS9:AU152 AW9:AY152 BA9:BC152">
    <cfRule type="containsBlanks" priority="9" dxfId="102">
      <formula>LEN(TRIM(E9))=0</formula>
    </cfRule>
  </conditionalFormatting>
  <conditionalFormatting sqref="G9:G152">
    <cfRule type="containsBlanks" priority="5" dxfId="108">
      <formula>LEN(TRIM(G9))=0</formula>
    </cfRule>
  </conditionalFormatting>
  <conditionalFormatting sqref="H9:H152">
    <cfRule type="containsBlanks" priority="3" dxfId="105">
      <formula>LEN(TRIM(H9))=0</formula>
    </cfRule>
  </conditionalFormatting>
  <conditionalFormatting sqref="L9:L152 P9:P152 T9:T152 X9:X152 AB9:AB152 AF9:AF152">
    <cfRule type="containsBlanks" priority="2" dxfId="105">
      <formula>LEN(TRIM(L9))=0</formula>
    </cfRule>
  </conditionalFormatting>
  <conditionalFormatting sqref="AJ9:AJ152 AN9:AN152 AR9:AR152 AV9:AV152 AZ9:AZ152">
    <cfRule type="containsBlanks" priority="1" dxfId="105">
      <formula>LEN(TRIM(AJ9))=0</formula>
    </cfRule>
  </conditionalFormatting>
  <conditionalFormatting sqref="BE9:BN152">
    <cfRule type="containsBlanks" priority="8" dxfId="102">
      <formula>LEN(TRIM(BE9))=0</formula>
    </cfRule>
  </conditionalFormatting>
  <conditionalFormatting sqref="BP9:BV152">
    <cfRule type="containsBlanks" priority="7" dxfId="102">
      <formula>LEN(TRIM(BP9))=0</formula>
    </cfRule>
  </conditionalFormatting>
  <conditionalFormatting sqref="BX9:BX152">
    <cfRule type="containsBlanks" priority="6" dxfId="102">
      <formula>LEN(TRIM(BX9))=0</formula>
    </cfRule>
  </conditionalFormatting>
  <pageMargins left="0.7" right="0.7" top="0.75" bottom="0.75" header="0.3" footer="0.3"/>
  <pageSetup orientation="portrait" paperSize="9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20"/>
  <sheetViews>
    <sheetView zoomScale="80" zoomScaleNormal="80" workbookViewId="0">
      <selection activeCell="P24" sqref="P24"/>
    </sheetView>
  </sheetViews>
  <sheetFormatPr baseColWidth="8" defaultRowHeight="12.75"/>
  <cols>
    <col width="5.5703125" customWidth="1" style="2" min="1" max="1"/>
    <col width="17.28515625" bestFit="1" customWidth="1" style="2" min="2" max="2"/>
    <col width="37.85546875" bestFit="1" customWidth="1" style="2" min="3" max="3"/>
    <col width="20.5703125" customWidth="1" style="2" min="4" max="4"/>
    <col width="5.5703125" customWidth="1" style="2" min="5" max="5"/>
    <col width="20.5703125" customWidth="1" style="2" min="6" max="6"/>
    <col width="5.5703125" customWidth="1" style="2" min="7" max="7"/>
    <col width="20.5703125" customWidth="1" style="2" min="8" max="8"/>
    <col width="5.5703125" customWidth="1" style="2" min="9" max="9"/>
    <col width="20.5703125" customWidth="1" style="2" min="10" max="10"/>
    <col width="5.5703125" customWidth="1" style="2" min="11" max="11"/>
    <col width="20.5703125" customWidth="1" style="2" min="12" max="12"/>
    <col width="5.5703125" customWidth="1" style="2" min="13" max="13"/>
    <col width="27.140625" customWidth="1" style="2" min="14" max="14"/>
    <col width="5.5703125" customWidth="1" style="2" min="15" max="15"/>
    <col width="20.5703125" customWidth="1" style="2" min="16" max="16"/>
    <col width="5.5703125" customWidth="1" style="2" min="17" max="17"/>
    <col width="20.5703125" customWidth="1" style="2" min="18" max="18"/>
    <col width="9.140625" customWidth="1" style="2" min="19" max="19"/>
    <col width="21.42578125" customWidth="1" style="2" min="20" max="20"/>
    <col width="9.140625" customWidth="1" style="2" min="21" max="16384"/>
  </cols>
  <sheetData>
    <row r="1" ht="15.6" customHeight="1"/>
    <row r="2" ht="48.6" customFormat="1" customHeight="1" s="1">
      <c r="B2" s="1" t="inlineStr">
        <is>
          <t>ProjectType</t>
        </is>
      </c>
      <c r="D2" s="1" t="inlineStr">
        <is>
          <t>PrincipalDesigner</t>
        </is>
      </c>
      <c r="F2" s="1" t="inlineStr">
        <is>
          <t>Engineer</t>
        </is>
      </c>
      <c r="H2" s="1" t="inlineStr">
        <is>
          <t>Stages</t>
        </is>
      </c>
      <c r="J2" s="1" t="inlineStr">
        <is>
          <t>FeeType</t>
        </is>
      </c>
      <c r="L2" s="1" t="inlineStr">
        <is>
          <t>SubconService</t>
        </is>
      </c>
      <c r="N2" s="1" t="inlineStr">
        <is>
          <t>Costs Chargeable</t>
        </is>
      </c>
      <c r="P2" s="1" t="inlineStr">
        <is>
          <t>ExpensesType</t>
        </is>
      </c>
      <c r="R2" s="1" t="inlineStr">
        <is>
          <t>General Y/N</t>
        </is>
      </c>
      <c r="T2" s="1" t="inlineStr">
        <is>
          <t>Procurement Route</t>
        </is>
      </c>
    </row>
    <row r="3">
      <c r="B3" s="2" t="inlineStr">
        <is>
          <t>project type 1</t>
        </is>
      </c>
      <c r="D3" s="2" t="inlineStr">
        <is>
          <t>y</t>
        </is>
      </c>
      <c r="F3" s="2" t="inlineStr">
        <is>
          <t>benl</t>
        </is>
      </c>
      <c r="H3" s="2" t="inlineStr">
        <is>
          <t>reporting</t>
        </is>
      </c>
      <c r="J3" s="2" t="inlineStr">
        <is>
          <t>lumpsum</t>
        </is>
      </c>
      <c r="L3" s="2" t="inlineStr">
        <is>
          <t>cost consultancy</t>
        </is>
      </c>
      <c r="N3" s="2" t="inlineStr">
        <is>
          <t>y</t>
        </is>
      </c>
      <c r="P3" s="2" t="inlineStr">
        <is>
          <t>travel</t>
        </is>
      </c>
      <c r="R3" s="2" t="inlineStr">
        <is>
          <t>y</t>
        </is>
      </c>
      <c r="T3" s="2" t="inlineStr">
        <is>
          <t>full duties</t>
        </is>
      </c>
    </row>
    <row r="4">
      <c r="B4" s="2" t="inlineStr">
        <is>
          <t>project type 2</t>
        </is>
      </c>
      <c r="D4" s="2" t="inlineStr">
        <is>
          <t>n</t>
        </is>
      </c>
      <c r="F4" s="2" t="inlineStr">
        <is>
          <t>carlb</t>
        </is>
      </c>
      <c r="H4" s="2" t="n">
        <v>1</v>
      </c>
      <c r="J4" s="2" t="inlineStr">
        <is>
          <t>tbc</t>
        </is>
      </c>
      <c r="L4" s="2" t="inlineStr">
        <is>
          <t>structural eng</t>
        </is>
      </c>
      <c r="N4" s="2" t="inlineStr">
        <is>
          <t>n</t>
        </is>
      </c>
      <c r="P4" s="2" t="inlineStr">
        <is>
          <t>subcon serv</t>
        </is>
      </c>
      <c r="R4" s="2" t="inlineStr">
        <is>
          <t>n</t>
        </is>
      </c>
      <c r="T4" s="2" t="inlineStr">
        <is>
          <t>other1</t>
        </is>
      </c>
    </row>
    <row r="5">
      <c r="B5" s="2" t="inlineStr">
        <is>
          <t>project type 3</t>
        </is>
      </c>
      <c r="D5" s="2" t="inlineStr">
        <is>
          <t>tbc other</t>
        </is>
      </c>
      <c r="F5" s="2" t="inlineStr">
        <is>
          <t>joes</t>
        </is>
      </c>
      <c r="H5" s="2" t="n">
        <v>2</v>
      </c>
      <c r="J5" s="2" t="inlineStr">
        <is>
          <t>%</t>
        </is>
      </c>
      <c r="L5" s="2" t="inlineStr">
        <is>
          <t>arch services</t>
        </is>
      </c>
      <c r="N5" s="2" t="inlineStr">
        <is>
          <t>tbc</t>
        </is>
      </c>
      <c r="P5" s="2" t="inlineStr">
        <is>
          <t>purchase</t>
        </is>
      </c>
      <c r="R5" s="2" t="inlineStr">
        <is>
          <t>tbc</t>
        </is>
      </c>
      <c r="T5" s="2" t="inlineStr">
        <is>
          <t>other2</t>
        </is>
      </c>
    </row>
    <row r="6">
      <c r="B6" s="2" t="inlineStr">
        <is>
          <t>project type 4</t>
        </is>
      </c>
      <c r="D6" s="2" t="inlineStr">
        <is>
          <t>other</t>
        </is>
      </c>
      <c r="F6" s="2" t="inlineStr">
        <is>
          <t>joelg</t>
        </is>
      </c>
      <c r="H6" s="2" t="n">
        <v>3</v>
      </c>
      <c r="J6" s="2" t="inlineStr">
        <is>
          <t>other</t>
        </is>
      </c>
      <c r="L6" s="2" t="inlineStr">
        <is>
          <t>acoustic services</t>
        </is>
      </c>
      <c r="P6" s="2" t="inlineStr">
        <is>
          <t>other descr thing</t>
        </is>
      </c>
      <c r="T6" s="2" t="inlineStr">
        <is>
          <t>other 3</t>
        </is>
      </c>
    </row>
    <row r="7">
      <c r="B7" s="2" t="inlineStr">
        <is>
          <t>project type 5</t>
        </is>
      </c>
      <c r="F7" s="2" t="inlineStr">
        <is>
          <t>rupertv</t>
        </is>
      </c>
      <c r="H7" s="2" t="inlineStr">
        <is>
          <t>3 ers</t>
        </is>
      </c>
      <c r="J7" s="2" t="inlineStr">
        <is>
          <t>else</t>
        </is>
      </c>
      <c r="T7" s="2" t="inlineStr">
        <is>
          <t>more</t>
        </is>
      </c>
    </row>
    <row r="8" ht="15" customHeight="1">
      <c r="F8" s="2" t="inlineStr">
        <is>
          <t>alexg</t>
        </is>
      </c>
      <c r="H8" s="2" t="n">
        <v>4</v>
      </c>
    </row>
    <row r="9" ht="15" customHeight="1">
      <c r="H9" s="2" t="n">
        <v>5</v>
      </c>
    </row>
    <row r="10">
      <c r="H10" s="2" t="n">
        <v>6</v>
      </c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DEA7CA08ED8A408EA548809DAEC2DB" ma:contentTypeVersion="19" ma:contentTypeDescription="Create a new document." ma:contentTypeScope="" ma:versionID="b7e750af13e9e7e0e39ea96b632c4e4a">
  <xsd:schema xmlns:xsd="http://www.w3.org/2001/XMLSchema" xmlns:xs="http://www.w3.org/2001/XMLSchema" xmlns:p="http://schemas.microsoft.com/office/2006/metadata/properties" xmlns:ns2="70bf0b2e-1d06-4fc1-8a42-c9a1a3ec7c11" xmlns:ns3="1fe99334-4881-4c24-8ea8-67705048f3d4" targetNamespace="http://schemas.microsoft.com/office/2006/metadata/properties" ma:root="true" ma:fieldsID="d06d24738ccfe7a57da3c72cdfdcf279" ns2:_="" ns3:_="">
    <xsd:import namespace="70bf0b2e-1d06-4fc1-8a42-c9a1a3ec7c11"/>
    <xsd:import namespace="1fe99334-4881-4c24-8ea8-67705048f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f0b2e-1d06-4fc1-8a42-c9a1a3ec7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3950d21-a8f5-40fb-81e1-a419b31c14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99334-4881-4c24-8ea8-67705048f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54b94f-9b3d-46eb-aa58-b94279a6309f}" ma:internalName="TaxCatchAll" ma:showField="CatchAllData" ma:web="1fe99334-4881-4c24-8ea8-67705048f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e99334-4881-4c24-8ea8-67705048f3d4" xsi:nil="true"/>
    <lcf76f155ced4ddcb4097134ff3c332f xmlns="70bf0b2e-1d06-4fc1-8a42-c9a1a3ec7c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A8A97B-8C60-4336-A327-D85B53A561E1}"/>
</file>

<file path=customXml/itemProps2.xml><?xml version="1.0" encoding="utf-8"?>
<ds:datastoreItem xmlns:ds="http://schemas.openxmlformats.org/officeDocument/2006/customXml" ds:itemID="{E6C99E3F-BC85-41BA-8562-06A950478B37}"/>
</file>

<file path=customXml/itemProps3.xml><?xml version="1.0" encoding="utf-8"?>
<ds:datastoreItem xmlns:ds="http://schemas.openxmlformats.org/officeDocument/2006/customXml" ds:itemID="{86F4DF02-031D-4741-9947-ACED6ACDF3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ONeill</dc:creator>
  <cp:lastModifiedBy>Dan ONeill</cp:lastModifiedBy>
  <dcterms:created xsi:type="dcterms:W3CDTF">2015-06-05T18:17:20Z</dcterms:created>
  <dcterms:modified xsi:type="dcterms:W3CDTF">2026-07-07T06:38:09Z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0x010100F0DEA7CA08ED8A408EA548809DAEC2DB</vt:lpwstr>
  </property>
  <property fmtid="{D5CDD505-2E9C-101B-9397-08002B2CF9AE}" pid="3" name="MediaServiceImageTags">
    <vt:lpwstr/>
  </property>
</Properties>
</file>